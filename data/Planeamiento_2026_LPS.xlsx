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rving\PLANEAMIENTO_3ERO\"/>
    </mc:Choice>
  </mc:AlternateContent>
  <xr:revisionPtr revIDLastSave="0" documentId="13_ncr:1_{067D3A2B-AAFD-4960-A9AB-A781EDDED0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SHBOARD" sheetId="1" r:id="rId1"/>
    <sheet name="LA - GIS" sheetId="2" r:id="rId2"/>
    <sheet name="PM - GIS" sheetId="3" r:id="rId3"/>
    <sheet name="PPC - GIS" sheetId="4" r:id="rId4"/>
    <sheet name="AR - GIS" sheetId="5" r:id="rId5"/>
    <sheet name="LA - METRO" sheetId="6" r:id="rId6"/>
    <sheet name="PM - METRO" sheetId="7" r:id="rId7"/>
    <sheet name="PPC - METRO" sheetId="8" r:id="rId8"/>
    <sheet name="AR - METR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9" l="1"/>
  <c r="D77" i="9"/>
  <c r="D76" i="9"/>
  <c r="D75" i="9"/>
  <c r="D72" i="9"/>
  <c r="D71" i="9"/>
  <c r="D70" i="9"/>
  <c r="D69" i="9"/>
  <c r="D68" i="9"/>
  <c r="AM61" i="8"/>
  <c r="AM62" i="8" s="1"/>
  <c r="AJ61" i="8"/>
  <c r="AJ62" i="8" s="1"/>
  <c r="AG61" i="8"/>
  <c r="AG62" i="8" s="1"/>
  <c r="AD61" i="8"/>
  <c r="AD62" i="8" s="1"/>
  <c r="AA61" i="8"/>
  <c r="X61" i="8"/>
  <c r="X62" i="8" s="1"/>
  <c r="U61" i="8"/>
  <c r="U62" i="8" s="1"/>
  <c r="R61" i="8"/>
  <c r="R62" i="8" s="1"/>
  <c r="O61" i="8"/>
  <c r="O62" i="8" s="1"/>
  <c r="L61" i="8"/>
  <c r="L62" i="8" s="1"/>
  <c r="I61" i="8"/>
  <c r="I62" i="8" s="1"/>
  <c r="F61" i="8"/>
  <c r="F62" i="8" s="1"/>
  <c r="AM60" i="8"/>
  <c r="AJ60" i="8"/>
  <c r="AG60" i="8"/>
  <c r="AD60" i="8"/>
  <c r="AA60" i="8"/>
  <c r="AA62" i="8" s="1"/>
  <c r="X60" i="8"/>
  <c r="U60" i="8"/>
  <c r="R60" i="8"/>
  <c r="O60" i="8"/>
  <c r="L60" i="8"/>
  <c r="I60" i="8"/>
  <c r="F60" i="8"/>
  <c r="AN59" i="7"/>
  <c r="AK59" i="7"/>
  <c r="AH59" i="7"/>
  <c r="AE59" i="7"/>
  <c r="AB59" i="7"/>
  <c r="Y59" i="7"/>
  <c r="V59" i="7"/>
  <c r="S59" i="7"/>
  <c r="P59" i="7"/>
  <c r="M59" i="7"/>
  <c r="J59" i="7"/>
  <c r="G59" i="7"/>
  <c r="D78" i="5"/>
  <c r="D77" i="5"/>
  <c r="D76" i="5"/>
  <c r="D75" i="5"/>
  <c r="D72" i="5"/>
  <c r="D71" i="5"/>
  <c r="D70" i="5"/>
  <c r="D69" i="5"/>
  <c r="D68" i="5"/>
  <c r="AM87" i="4"/>
  <c r="AJ87" i="4"/>
  <c r="AG87" i="4"/>
  <c r="AD87" i="4"/>
  <c r="AA87" i="4"/>
  <c r="X87" i="4"/>
  <c r="U87" i="4"/>
  <c r="R87" i="4"/>
  <c r="O87" i="4"/>
  <c r="L87" i="4"/>
  <c r="L88" i="4" s="1"/>
  <c r="I87" i="4"/>
  <c r="I88" i="4" s="1"/>
  <c r="F87" i="4"/>
  <c r="F88" i="4" s="1"/>
  <c r="AM86" i="4"/>
  <c r="AM88" i="4" s="1"/>
  <c r="AJ86" i="4"/>
  <c r="AJ88" i="4" s="1"/>
  <c r="AG86" i="4"/>
  <c r="AG88" i="4" s="1"/>
  <c r="AD86" i="4"/>
  <c r="AD88" i="4" s="1"/>
  <c r="AA86" i="4"/>
  <c r="AA88" i="4" s="1"/>
  <c r="X86" i="4"/>
  <c r="X88" i="4" s="1"/>
  <c r="U86" i="4"/>
  <c r="U88" i="4" s="1"/>
  <c r="R86" i="4"/>
  <c r="R88" i="4" s="1"/>
  <c r="O86" i="4"/>
  <c r="O88" i="4" s="1"/>
  <c r="L86" i="4"/>
  <c r="I86" i="4"/>
  <c r="F86" i="4"/>
  <c r="AN85" i="3"/>
  <c r="AK85" i="3"/>
  <c r="AH85" i="3"/>
  <c r="AE85" i="3"/>
  <c r="AB85" i="3"/>
  <c r="Y85" i="3"/>
  <c r="V85" i="3"/>
  <c r="S85" i="3"/>
  <c r="P85" i="3"/>
  <c r="M85" i="3"/>
  <c r="J85" i="3"/>
  <c r="G85" i="3"/>
</calcChain>
</file>

<file path=xl/sharedStrings.xml><?xml version="1.0" encoding="utf-8"?>
<sst xmlns="http://schemas.openxmlformats.org/spreadsheetml/2006/main" count="9164" uniqueCount="585">
  <si>
    <t>PLANEAMIENTO 2026
TABLERO DE CONTROL</t>
  </si>
  <si>
    <t>GIS (POSTVENTA)</t>
  </si>
  <si>
    <t>METROPOLITANO (DISEÑO)</t>
  </si>
  <si>
    <t>Lookahead Anual</t>
  </si>
  <si>
    <t>→ Ir a LA - GIS</t>
  </si>
  <si>
    <t>→ Ir a LA - METRO</t>
  </si>
  <si>
    <t>Plan Mensual</t>
  </si>
  <si>
    <t>→ Ir a PM - GIS</t>
  </si>
  <si>
    <t>→ Ir a PM - METRO</t>
  </si>
  <si>
    <t>PPC</t>
  </si>
  <si>
    <t>→ Ir a PPC - GIS</t>
  </si>
  <si>
    <t>→ Ir a PPC - METRO</t>
  </si>
  <si>
    <t>Análisis de Restricciones</t>
  </si>
  <si>
    <t>→ Ir a AR - GIS</t>
  </si>
  <si>
    <t>→ Ir a AR - METRO</t>
  </si>
  <si>
    <t>INSTRUCCIONES DE USO:
1. LOOKAHEAD ANUAL: Vista general de todas las actividades del año divididas por semanas. Las barras azules muestran las actividades planificadas.
2. PLAN MENSUAL: Para cada mes, seleccione el Estado de cada actividad (No Iniciado / En Proceso / Completado / Retrasado) e ingrese el % de Avance. Los gráficos se actualizan automáticamente.
3. PPC (% Plan Cumplido): Marque 'Sí' en las actividades Comprometidas y después marque 'Sí' en las Ejecutadas. El PPC se calcula automáticamente: PPC = Ejecutadas / Comprometidas. Meta ≥ 80%.
4. AR (Análisis de Restricciones): Registre cada restricción identificada, su tipo, impacto, responsable y acción de mitigación. Los gráficos de resumen se actualizan automáticamente.</t>
  </si>
  <si>
    <t>LOOKAHEAD ANUAL 2026 - GIS (Postventa)</t>
  </si>
  <si>
    <t>PLAN DE TRABAJO 2026 - CRONOGRAMA SEMANAL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</si>
  <si>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</si>
  <si>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</si>
  <si>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</si>
  <si>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</si>
  <si>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</si>
  <si>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</si>
  <si>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</si>
  <si>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</si>
  <si>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</si>
  <si>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</si>
  <si>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</si>
  <si>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</si>
  <si>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#</t>
  </si>
  <si>
    <t>Código</t>
  </si>
  <si>
    <t>Actividad</t>
  </si>
  <si>
    <t>Entregable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</si>
  <si>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</si>
  <si>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</si>
  <si>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</si>
  <si>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</si>
  <si>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</si>
  <si>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</si>
  <si>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</si>
  <si>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</si>
  <si>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</si>
  <si>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</si>
  <si>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</si>
  <si>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</si>
  <si>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</si>
  <si>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</si>
  <si>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</si>
  <si>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</si>
  <si>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</si>
  <si>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</si>
  <si>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</si>
  <si>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</si>
  <si>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</si>
  <si>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</si>
  <si>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</si>
  <si>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</si>
  <si>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</si>
  <si>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</si>
  <si>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</si>
  <si>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</si>
  <si>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</si>
  <si>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</si>
  <si>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</si>
  <si>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</si>
  <si>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</si>
  <si>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</si>
  <si>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</si>
  <si>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</si>
  <si>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</si>
  <si>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</si>
  <si>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</si>
  <si>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</si>
  <si>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</si>
  <si>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</si>
  <si>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</si>
  <si>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</si>
  <si>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</si>
  <si>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</si>
  <si>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</si>
  <si>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</si>
  <si>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</si>
  <si>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</si>
  <si>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</si>
  <si>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</si>
  <si>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</si>
  <si>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05/01</t>
  </si>
  <si>
    <t>12/01</t>
  </si>
  <si>
    <t>19/01</t>
  </si>
  <si>
    <t>26/01</t>
  </si>
  <si>
    <t>02/02</t>
  </si>
  <si>
    <t>09/02</t>
  </si>
  <si>
    <t>16/02</t>
  </si>
  <si>
    <t>23/02</t>
  </si>
  <si>
    <t>02/03</t>
  </si>
  <si>
    <t>09/03</t>
  </si>
  <si>
    <t>16/03</t>
  </si>
  <si>
    <t>23/03</t>
  </si>
  <si>
    <t>30/03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</si>
  <si>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</si>
  <si>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</si>
  <si>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</si>
  <si>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</si>
  <si>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</si>
  <si>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</si>
  <si>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</si>
  <si>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</si>
  <si>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</si>
  <si>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>08/06</t>
  </si>
  <si>
    <t>15/06</t>
  </si>
  <si>
    <t>22/06</t>
  </si>
  <si>
    <t>29/06</t>
  </si>
  <si>
    <t>06/07</t>
  </si>
  <si>
    <t>13/07</t>
  </si>
  <si>
    <t>20/07</t>
  </si>
  <si>
    <t>27/07</t>
  </si>
  <si>
    <t>03/08</t>
  </si>
  <si>
    <t>10/08</t>
  </si>
  <si>
    <t>17/08</t>
  </si>
  <si>
    <t>24/08</t>
  </si>
  <si>
    <t>31/08</t>
  </si>
  <si>
    <t>07/09</t>
  </si>
  <si>
    <t>14/09</t>
  </si>
  <si>
    <t>21/09</t>
  </si>
  <si>
    <t>28/09</t>
  </si>
  <si>
    <t>05/10</t>
  </si>
  <si>
    <t>12/10</t>
  </si>
  <si>
    <t>19/10</t>
  </si>
  <si>
    <t>26/10</t>
  </si>
  <si>
    <t>02/11</t>
  </si>
  <si>
    <t>09/11</t>
  </si>
  <si>
    <t>16/11</t>
  </si>
  <si>
    <t>23/11</t>
  </si>
  <si>
    <t>30/11</t>
  </si>
  <si>
    <t>07/12</t>
  </si>
  <si>
    <t>14/12</t>
  </si>
  <si>
    <t>21/12</t>
  </si>
  <si>
    <t>28/12</t>
  </si>
  <si>
    <t>OG-01 | Mejorar la eficiencia operativa enfocada en la satisfacción del cliente (BPTL)</t>
  </si>
  <si>
    <t>OE-01.1 | Reducir el LT de atención de postventa</t>
  </si>
  <si>
    <t>KPI: % de incidencias atendidas dentro de 48 horas hábiles ≥ 90%</t>
  </si>
  <si>
    <t>A01</t>
  </si>
  <si>
    <t>Diagnóstico del proceso actual de atención Postventa</t>
  </si>
  <si>
    <t>Mapa del proceso actual + diagnóstico de tiempos</t>
  </si>
  <si>
    <t>GIS</t>
  </si>
  <si>
    <t>■</t>
  </si>
  <si>
    <t>A02</t>
  </si>
  <si>
    <t>Definición de estándares de atención y tiempos límite</t>
  </si>
  <si>
    <t>Matriz de tiempos de atención y prioridades</t>
  </si>
  <si>
    <t>Directorio/GIS</t>
  </si>
  <si>
    <t>A03</t>
  </si>
  <si>
    <t>Optimización del flujo de atención Postventa</t>
  </si>
  <si>
    <t>Proceso optimizado de atención Postventa</t>
  </si>
  <si>
    <t>A04</t>
  </si>
  <si>
    <t>Implementación de herramientas de control y seguimiento</t>
  </si>
  <si>
    <t>Herramienta de control de solicitudes Postventa</t>
  </si>
  <si>
    <t>OE-01.2 | Implementar Sperant en los proyectos que se entregarán este año</t>
  </si>
  <si>
    <t>KPI: % de proyectos entregados con Sperant implementado y operativo 100%</t>
  </si>
  <si>
    <t>Definir qué procesos se migran a Sperant y cuáles se mantienen fuera</t>
  </si>
  <si>
    <t>Documento de alcance de implementación de Sperant</t>
  </si>
  <si>
    <t>Planificación de la implementación por proyecto y cronograma</t>
  </si>
  <si>
    <t>Cronograma de implementación de Sperant por proyecto</t>
  </si>
  <si>
    <t>Configuración y parametrización de Sperant</t>
  </si>
  <si>
    <t>Sperant configurado y listo por proyecto</t>
  </si>
  <si>
    <t>Implementación piloto y ajustes iniciales - Midori</t>
  </si>
  <si>
    <t>Informe de piloto</t>
  </si>
  <si>
    <t>A05</t>
  </si>
  <si>
    <t>Implementación progresiva en los demás proyectos</t>
  </si>
  <si>
    <t>Reportes de desempeño</t>
  </si>
  <si>
    <t>OE-01.3 | Implementar nuevos Canales de atención: Chatbot + Servicio al cliente</t>
  </si>
  <si>
    <t>KPI: % de incidencias registradas a través de los nuevos canales ≥ 60%</t>
  </si>
  <si>
    <t>Definición de alcance y rol de los nuevos canales</t>
  </si>
  <si>
    <t>Documento de alcance y funcionamiento de los nuevos canales</t>
  </si>
  <si>
    <t>Diseño del flujo de atención multicanal</t>
  </si>
  <si>
    <t>Flujo de atención multicanal documentado</t>
  </si>
  <si>
    <t>Directorio/GIS/Procesos</t>
  </si>
  <si>
    <t>Implementación del Chatbot piloto (Piloto: Midori)</t>
  </si>
  <si>
    <t>Política difundida</t>
  </si>
  <si>
    <t>Implementación del Servicio de Atención telefónica (Piloto: Midori)</t>
  </si>
  <si>
    <t>Comunicación a clientes y puesta en marcha</t>
  </si>
  <si>
    <t>Reporte de desempeño de los nuevos canales</t>
  </si>
  <si>
    <t>OE-01.4 | Implementar herramientas operativas, tecnológicas y de transporte</t>
  </si>
  <si>
    <t>KPI: % de atenciones de Post Venta realizadas con herramientas implementadas ≥ 80%</t>
  </si>
  <si>
    <t>Diagnóstico de necesidades operativas en campo</t>
  </si>
  <si>
    <t>Diagnóstico de necesidades tecnológicas y movilidad</t>
  </si>
  <si>
    <t>Definición de herramientas operativas, tecnológicas y medios de transporte</t>
  </si>
  <si>
    <t>Listado y especificación de herramientas</t>
  </si>
  <si>
    <t>Evaluación de costos y aprobación</t>
  </si>
  <si>
    <t>Presupuesto aprobado para implementación</t>
  </si>
  <si>
    <t>Directorio</t>
  </si>
  <si>
    <t>Implementación en campo y seguimiento continuo</t>
  </si>
  <si>
    <t>Reporte de desempeño y mejoras implementadas</t>
  </si>
  <si>
    <t>OG-02 | Asegurar la Calidad de los proyectos a entregar</t>
  </si>
  <si>
    <t>OE-02.1 | Elaborar nueva versión de Manual de Propietarios para cada proyecto</t>
  </si>
  <si>
    <t>KPI: % de proyectos entregados con Manual de Propietario actualizado 100%</t>
  </si>
  <si>
    <t>Definición de alcance y estructura del Manual de Propietarios</t>
  </si>
  <si>
    <t>Estructura y alcance del Manual</t>
  </si>
  <si>
    <t>Directorio/GIS/Inmobiliaria</t>
  </si>
  <si>
    <t>Solicitud de información de áreas involucradas</t>
  </si>
  <si>
    <t>Información recopilada y validada por área</t>
  </si>
  <si>
    <t>GIS/Calidad/Inmobiliaria/Metropolitano</t>
  </si>
  <si>
    <t>Desarrollo del contenido del Manual por proyecto</t>
  </si>
  <si>
    <t>Borrador del Manual de Propietarios por proyecto</t>
  </si>
  <si>
    <t>Revisión y validación multidisciplinaria</t>
  </si>
  <si>
    <t>Manual validado</t>
  </si>
  <si>
    <t>GIS/Calidad/Inmobiliaria/Metropolitano/Legal</t>
  </si>
  <si>
    <t>Implementación y entrega al cliente</t>
  </si>
  <si>
    <t>Manual entregado al cliente</t>
  </si>
  <si>
    <t>OE-02.2 | Elaborar e implementar Procedimiento de Recepción de UI y AC</t>
  </si>
  <si>
    <t>KPI: % de proyectos que aplican el procedimiento de recepción ≥ 95%</t>
  </si>
  <si>
    <t>Definir Alcance del procedimiento de Recepción y Entrega</t>
  </si>
  <si>
    <t>Alcance y estructura del Procedimiento</t>
  </si>
  <si>
    <t>Directorio/GIS/Inmobiliaria/Procesos</t>
  </si>
  <si>
    <t>Estandarización del proceso de inspecciones y control de calidad</t>
  </si>
  <si>
    <t>Procedimiento de inspecciones y checklist estandarizado</t>
  </si>
  <si>
    <t>GIS/CALIDAD/Procesos</t>
  </si>
  <si>
    <t>Formalización de la recepción de Obra hacia Calidad y Postventa</t>
  </si>
  <si>
    <t>Procedimiento de recepción formal Obra → Calidad/Postventa</t>
  </si>
  <si>
    <t>Definición del procedimiento de entrega a clientes finales y AC</t>
  </si>
  <si>
    <t>Procedimiento documentado de entrega</t>
  </si>
  <si>
    <t>Estandarización de documentación técnica a entregar</t>
  </si>
  <si>
    <t>Matriz de documentación técnica por tipo de entrega</t>
  </si>
  <si>
    <t>GIS/CALIDAD/Inmobiliaria</t>
  </si>
  <si>
    <t>A06</t>
  </si>
  <si>
    <t>Implementación y capacitación</t>
  </si>
  <si>
    <t>Reporte de seguimiento</t>
  </si>
  <si>
    <t>OE-02.3 | Implementar Manual de tolerancias brindado por el Área de Calidad</t>
  </si>
  <si>
    <t>KPI: % de proyectos entregados aplicando el Manual de Tolerancias ≥ 95%</t>
  </si>
  <si>
    <t>Revisión y definición del alcance del Manual de Tolerancias</t>
  </si>
  <si>
    <t>Alcance definido del Manual y su aplicación</t>
  </si>
  <si>
    <t>Directorio/GIS/CALIDAD/Inmobiliaria/Legal</t>
  </si>
  <si>
    <t>Integración del Manual de Tolerancias al proceso de Recepción</t>
  </si>
  <si>
    <t>Manual integrado al proceso operativo</t>
  </si>
  <si>
    <t>Implementación del Manual de Tolerancias</t>
  </si>
  <si>
    <t>Actas de recepción de clientes</t>
  </si>
  <si>
    <t>OE-02.4 | Documentar Lecciones Aprendidas - Matriz General</t>
  </si>
  <si>
    <t>KPI: Número de lecciones aprendidas documentadas por proyecto - 100%</t>
  </si>
  <si>
    <t>Definición del alcance y estructura de la matriz de Lecciones Aprendidas</t>
  </si>
  <si>
    <t>Formato de matriz general de Lecciones Aprendidas</t>
  </si>
  <si>
    <t>Identificación y levantamiento de lecciones aprendidas por proyecto</t>
  </si>
  <si>
    <t>Listado consolidado de lecciones aprendidas</t>
  </si>
  <si>
    <t>Implementación y uso en proyectos siguientes</t>
  </si>
  <si>
    <t>Matriz aplicada en proyectos activos</t>
  </si>
  <si>
    <t>OE-02.5 | Medir la Satisfacción de los clientes (Encuestas)</t>
  </si>
  <si>
    <t>KPI: Índice de satisfacción del cliente Post Venta (%) ≥ 85%</t>
  </si>
  <si>
    <t>Definición del enfoque y alcance de la medición</t>
  </si>
  <si>
    <t>Alcance y enfoque de la medición de satisfacción</t>
  </si>
  <si>
    <t>CX/GIS/Inmobiliaria</t>
  </si>
  <si>
    <t>Diseño de la encuesta de satisfacción / Alineado con CX</t>
  </si>
  <si>
    <t>Encuesta de satisfacción diseñada</t>
  </si>
  <si>
    <t>Definición de herramientas y canales de aplicación</t>
  </si>
  <si>
    <t>Plan de aplicación de encuestas</t>
  </si>
  <si>
    <t>Implementación de la encuesta (Midori, Zentric, Parque Emilio)</t>
  </si>
  <si>
    <t>Encuestas aplicadas y base de datos de resultados</t>
  </si>
  <si>
    <t>Implementación en proyectos restantes (hasta Infinity)</t>
  </si>
  <si>
    <t>Análisis de resultados y medición de indicadores</t>
  </si>
  <si>
    <t>Reporte de satisfacción del cliente</t>
  </si>
  <si>
    <t>OG-03 | Evaluar elemento diferenciador en el Servicio Post Venta</t>
  </si>
  <si>
    <t>OE-03.1 | Analizar alternativas innovadoras para el servicio Postventa</t>
  </si>
  <si>
    <t>KPI: Nº de iniciativas innovadoras evaluadas e implementadas ≥ 1/año</t>
  </si>
  <si>
    <t>Definición del marco de análisis y criterios de diferenciación</t>
  </si>
  <si>
    <t>Marco de análisis y criterios de evaluación</t>
  </si>
  <si>
    <t>Directorio/CX</t>
  </si>
  <si>
    <t>Investigación de buenas prácticas y referentes del mercado</t>
  </si>
  <si>
    <t>Informe de benchmarking y buenas prácticas</t>
  </si>
  <si>
    <t>Identificación y evaluación de alternativas innovadoras</t>
  </si>
  <si>
    <t>Matriz de evaluación y priorización</t>
  </si>
  <si>
    <t>Selección de alternativas a implementar</t>
  </si>
  <si>
    <t>Alternativas seleccionadas para implementación</t>
  </si>
  <si>
    <t>OG-04 | Ordenar la gestión de pagos a proveedores</t>
  </si>
  <si>
    <t>OE-04.1 | Estandarizar el proceso de solicitud, validación y aprobación de pagos</t>
  </si>
  <si>
    <t>KPI: % de pagos a proveedores realizados dentro del plazo ≥ 95%</t>
  </si>
  <si>
    <t>Levantamiento del proceso actual de pagos a proveedores</t>
  </si>
  <si>
    <t>Mapa del proceso actual de pagos</t>
  </si>
  <si>
    <t>GIS/Procesos</t>
  </si>
  <si>
    <t>Definición del proceso estándar de gestión de pagos</t>
  </si>
  <si>
    <t>Proceso de trabajo</t>
  </si>
  <si>
    <t>Estandarización de formatos y documentación</t>
  </si>
  <si>
    <t>Formatos y checklist de pagos a proveedores</t>
  </si>
  <si>
    <t>Definición de tiempos y SLA del proceso</t>
  </si>
  <si>
    <t>Matriz de tiempos y SLA del proceso de pagos</t>
  </si>
  <si>
    <t>Implementación y seguimiento</t>
  </si>
  <si>
    <t>Proceso implementado y reporte de seguimiento</t>
  </si>
  <si>
    <t>OG-05 | Asegurar la gestión de cobranza del FG de proveedores</t>
  </si>
  <si>
    <t>OE-05.1 | Implementar sistema de control y seguimiento del Fondo de Garantía</t>
  </si>
  <si>
    <t>KPI: % de FG registrados y conciliados en matriz de control ≥ 90%</t>
  </si>
  <si>
    <t>Diseño de matriz de control</t>
  </si>
  <si>
    <t>Matriz oficial de control del FG</t>
  </si>
  <si>
    <t>Finanzas</t>
  </si>
  <si>
    <t>Levantamiento de información (Revisión de contrato y fondos)</t>
  </si>
  <si>
    <t>Base consolidada de fondos retenidos</t>
  </si>
  <si>
    <t>GIS/Finanzas</t>
  </si>
  <si>
    <t>Integración con Finanzas (conciliación mensual)</t>
  </si>
  <si>
    <t>Reporte mensual de conciliación del FG</t>
  </si>
  <si>
    <t>Reporte de seguimiento mensual actualizado</t>
  </si>
  <si>
    <t>OE-05.2 | Asegurar la recuperación o ejecución del FG ante incumplimientos</t>
  </si>
  <si>
    <t>KPI: % de FG ejecutados ante incumplimiento ≥ 90%</t>
  </si>
  <si>
    <t>Definir criterios de ejecución</t>
  </si>
  <si>
    <t>Matriz de causales de ejecución</t>
  </si>
  <si>
    <t>GIS/Constructora</t>
  </si>
  <si>
    <t>Procedimiento de notificación al proveedor</t>
  </si>
  <si>
    <t>Formato estándar de notificación</t>
  </si>
  <si>
    <t>GIS/Constructora/Procesos</t>
  </si>
  <si>
    <t>Aplicación del fondo</t>
  </si>
  <si>
    <t>Registro formal de fondos ejecutados</t>
  </si>
  <si>
    <t>Cierre y reporte</t>
  </si>
  <si>
    <t>Informe trimestral de ejecución del Fondo</t>
  </si>
  <si>
    <t>OE-05.3 | Reducir riesgos financieros asociados a devoluciones indebidas</t>
  </si>
  <si>
    <t>KPI: % de devoluciones realizadas conforme a procedimiento ≥ 90%</t>
  </si>
  <si>
    <t>Definir Checklist previo a devolución</t>
  </si>
  <si>
    <t>Checklist obligatorio previo a devolución</t>
  </si>
  <si>
    <t>Validación interáreas antes de devolución</t>
  </si>
  <si>
    <t>Acta de autorización de devolución</t>
  </si>
  <si>
    <t>GIS/Constructora/Finanzas</t>
  </si>
  <si>
    <t>OG-06 | Brindar servicios de implementación y mantenimiento de Oficinas y Casetas</t>
  </si>
  <si>
    <t>OE-06.1 | Garantizar la ejecución del servicio</t>
  </si>
  <si>
    <t>KPI: % Inmuebles implementados dentro del plazo ≥ 95%</t>
  </si>
  <si>
    <t>Definir alcance estándar del servicio</t>
  </si>
  <si>
    <t>Checklist de Alcance</t>
  </si>
  <si>
    <t>GIS/Inmobiliaria</t>
  </si>
  <si>
    <t>Elaborar cronograma (plantilla)</t>
  </si>
  <si>
    <t>Cronograma</t>
  </si>
  <si>
    <t>Elaborar presupuesto</t>
  </si>
  <si>
    <t>Presupuesto</t>
  </si>
  <si>
    <t>Validación y Ejecución del servicio</t>
  </si>
  <si>
    <t>Acta de entrega firmada por el cliente</t>
  </si>
  <si>
    <t>OG-07 | Elaborar procesos</t>
  </si>
  <si>
    <t>OE-07.1 | Revisión de procesos actuales y optimizarlos</t>
  </si>
  <si>
    <t>KPI: % de procesos críticos optimizados e implementados ≥ 80%</t>
  </si>
  <si>
    <t>Identificación y levantamiento de procesos actuales + comparativo</t>
  </si>
  <si>
    <t>Mapa de procesos actuales</t>
  </si>
  <si>
    <t>GIS/Administración</t>
  </si>
  <si>
    <t>Rev 0 Procesos Postventa</t>
  </si>
  <si>
    <t>Flujos de procesos postventa</t>
  </si>
  <si>
    <t>Directorio/GIS/Administración</t>
  </si>
  <si>
    <t>Propuesta de optimización de procesos</t>
  </si>
  <si>
    <t>Procesos optimizados propuestos</t>
  </si>
  <si>
    <t>Procesos optimizados implementados</t>
  </si>
  <si>
    <t>OE-07.2 | Establecer Manual de funciones de los integrantes del Organigrama</t>
  </si>
  <si>
    <t>KPI: % de puestos con funciones formalizadas y difundidas 100%</t>
  </si>
  <si>
    <t>Revisión del organigrama actual</t>
  </si>
  <si>
    <t>Organigrama validado</t>
  </si>
  <si>
    <t>Definición de funciones y responsabilidades por puesto</t>
  </si>
  <si>
    <t>Funciones y responsabilidades por puesto</t>
  </si>
  <si>
    <t>Elaboración del manual de funciones</t>
  </si>
  <si>
    <t>Manual de funciones elaborado</t>
  </si>
  <si>
    <t>Validación, aprobación y difusión</t>
  </si>
  <si>
    <t>Manual de funciones aprobado y difundido</t>
  </si>
  <si>
    <t>OE-07.3 | Elaborar Informes Mensuales y Trimestrales</t>
  </si>
  <si>
    <t>KPI: % de informes entregados en el plazo 100%</t>
  </si>
  <si>
    <t>Definición del alcance de los informes</t>
  </si>
  <si>
    <t>Alcance y estructura de informes</t>
  </si>
  <si>
    <t>Definición de indicadores y fuentes de información</t>
  </si>
  <si>
    <t>Matriz de indicadores y fuentes</t>
  </si>
  <si>
    <t>Diseño de formatos de informe</t>
  </si>
  <si>
    <t>Formato estándar de informes</t>
  </si>
  <si>
    <t>Elaboración y presentación de informes</t>
  </si>
  <si>
    <t>Informes mensuales y trimestrales elaborados</t>
  </si>
  <si>
    <t>Seguimiento y mejora de los informes</t>
  </si>
  <si>
    <t>Reportes de informes</t>
  </si>
  <si>
    <t>Leyenda:</t>
  </si>
  <si>
    <t>Actividad Planificada</t>
  </si>
  <si>
    <t>PLAN MENSUAL 2026 - GIS (Postventa)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</si>
  <si>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</si>
  <si>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</si>
  <si>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</si>
  <si>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</si>
  <si>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</si>
  <si>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</si>
  <si>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</si>
  <si>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</si>
  <si>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</si>
  <si>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</si>
  <si>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</si>
  <si>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</si>
  <si>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OE</t>
  </si>
  <si>
    <t>Planif.</t>
  </si>
  <si>
    <t>Estado</t>
  </si>
  <si>
    <t>% Avance</t>
  </si>
  <si>
    <t>Auto</t>
  </si>
  <si>
    <t>Seleccionar</t>
  </si>
  <si>
    <t>Ingresar</t>
  </si>
  <si>
    <t>OE-01.1</t>
  </si>
  <si>
    <t>✓</t>
  </si>
  <si>
    <t>No Iniciado</t>
  </si>
  <si>
    <t>-</t>
  </si>
  <si>
    <t>N/A</t>
  </si>
  <si>
    <t>OE-01.2</t>
  </si>
  <si>
    <t>OE-01.3</t>
  </si>
  <si>
    <t>OE-01.4</t>
  </si>
  <si>
    <t>OE-02.1</t>
  </si>
  <si>
    <t>OE-02.2</t>
  </si>
  <si>
    <t>OE-02.3</t>
  </si>
  <si>
    <t>OE-02.4</t>
  </si>
  <si>
    <t>OE-02.5</t>
  </si>
  <si>
    <t>OE-03.1</t>
  </si>
  <si>
    <t>OE-04.1</t>
  </si>
  <si>
    <t>OE-05.1</t>
  </si>
  <si>
    <t>OE-05.2</t>
  </si>
  <si>
    <t>OE-05.3</t>
  </si>
  <si>
    <t>OE-06.1</t>
  </si>
  <si>
    <t>OE-07.1</t>
  </si>
  <si>
    <t>OE-07.2</t>
  </si>
  <si>
    <t>OE-07.3</t>
  </si>
  <si>
    <t>RESUMEN MENSUAL - % AVANCE PROMEDIO</t>
  </si>
  <si>
    <t>% Avance Promedio (actividades del mes)</t>
  </si>
  <si>
    <t>PPC - PORCENTAJE DE PLAN CUMPLIDO 2026 - GIS (Postventa)</t>
  </si>
  <si>
    <t>Seguimiento de compromisos planificados vs ejecutados</t>
  </si>
  <si>
    <t>Plan</t>
  </si>
  <si>
    <t>Compr.</t>
  </si>
  <si>
    <t>Ejec.</t>
  </si>
  <si>
    <t>Sí / No</t>
  </si>
  <si>
    <t>→ Marcar 'Sí' en Comprometido si se compromete a ejecutar. Marcar 'Sí' en Ejecutado si se completó.</t>
  </si>
  <si>
    <t>PPC - RESUMEN MENSUAL</t>
  </si>
  <si>
    <t>Total Actividades Comprometidas</t>
  </si>
  <si>
    <t>Total Actividades Ejecutadas</t>
  </si>
  <si>
    <t>PPC (% Plan Cumplido) = Ejecutadas / Comprometidas</t>
  </si>
  <si>
    <t>ANÁLISIS DE RESTRICCIONES 2026 - GIS (Postventa)</t>
  </si>
  <si>
    <t>Registre las restricciones que impiden o podrían impedir el cumplimiento del plan. Actualice el estado periódicamente.</t>
  </si>
  <si>
    <t>Tipos: Información | Recurso | Equipos | Diseño | Materiales | Aprobación | Legal | Financiero | Otro  |  Estados: Pendiente | En Gestión | Levantada | Vencida  |  Impacto: Bajo | Medio | Alto | Crítico</t>
  </si>
  <si>
    <t>Cód. Act.</t>
  </si>
  <si>
    <t>Actividad Asociada</t>
  </si>
  <si>
    <t>Descripción de la Restricción</t>
  </si>
  <si>
    <t>Tipo</t>
  </si>
  <si>
    <t>Fecha Identif.</t>
  </si>
  <si>
    <t>Fecha Requerida</t>
  </si>
  <si>
    <t>Fecha Levant.</t>
  </si>
  <si>
    <t>Impacto</t>
  </si>
  <si>
    <t>Acción de Mitigación</t>
  </si>
  <si>
    <t>Observaciones</t>
  </si>
  <si>
    <t>RESUMEN DE RESTRICCIONES</t>
  </si>
  <si>
    <t>Pendientes</t>
  </si>
  <si>
    <t>En Gestión</t>
  </si>
  <si>
    <t>Levantadas</t>
  </si>
  <si>
    <t>Vencidas</t>
  </si>
  <si>
    <t>TOTAL</t>
  </si>
  <si>
    <t>RESUMEN POR IMPACTO</t>
  </si>
  <si>
    <t>Bajo</t>
  </si>
  <si>
    <t>Medio</t>
  </si>
  <si>
    <t>Alto</t>
  </si>
  <si>
    <t>Crítico</t>
  </si>
  <si>
    <t>LOOKAHEAD ANUAL 2026 - METROPOLITANO (Diseño)</t>
  </si>
  <si>
    <t>OG-01 | Asegurar la innovación constante en diseño</t>
  </si>
  <si>
    <t>OE-01.1 | Desarrollar propuestas arquitectónicas diferenciadas con cumplimiento normativo</t>
  </si>
  <si>
    <t>KPI: Nº de criterios innovadores incorporados ≥ 2/año</t>
  </si>
  <si>
    <t>Monitoreo continuo de tendencias e innovación arquitectónica / Capacitaciones</t>
  </si>
  <si>
    <t>Registro de tendencias y referentes aplicables</t>
  </si>
  <si>
    <t>CP</t>
  </si>
  <si>
    <t>Actualización periódica de normativa aplicable / Capacitaciones</t>
  </si>
  <si>
    <t>Matriz normativa actualizada (municipal, RNE)</t>
  </si>
  <si>
    <t>Checklist normativo y de innovación por proyecto</t>
  </si>
  <si>
    <t>Checklist</t>
  </si>
  <si>
    <t>Estandarización de criterios innovadores exitosos</t>
  </si>
  <si>
    <t>Actualización de lineamientos y estándares</t>
  </si>
  <si>
    <t>Presentación Mensual</t>
  </si>
  <si>
    <t>Acta de las reuniones</t>
  </si>
  <si>
    <t>OE-01.2 | Implementar Proyecto Verde: Edge, Bono verde o LEED</t>
  </si>
  <si>
    <t>KPI: % de proyectos que incorporan certificación verde ≥ 50%</t>
  </si>
  <si>
    <t>Evaluación de viabilidad</t>
  </si>
  <si>
    <t>Informe de viabilidad</t>
  </si>
  <si>
    <t>Directorio/CP</t>
  </si>
  <si>
    <t>Definición de estrategias sostenibles</t>
  </si>
  <si>
    <t>Matriz de estrategias sostenibles</t>
  </si>
  <si>
    <t>Incorporación en el diseño</t>
  </si>
  <si>
    <t>Expediente con criterios verdes incorporados</t>
  </si>
  <si>
    <t>Validación técnica</t>
  </si>
  <si>
    <t>Check de cumplimiento empresa certificadora</t>
  </si>
  <si>
    <t>OE-01.3 | Uso de IA / VR en diseños</t>
  </si>
  <si>
    <t>KPI: % de proyectos que utilizan IA/VR en al menos una etapa ≥ 50%</t>
  </si>
  <si>
    <t>Identificación de herramientas IA/VR</t>
  </si>
  <si>
    <t>Informe comparativo de herramientas IA/VR</t>
  </si>
  <si>
    <t>Capacitación del equipo</t>
  </si>
  <si>
    <t>Registro de capacitaciones</t>
  </si>
  <si>
    <t>Aplicación piloto - Expediente comercial</t>
  </si>
  <si>
    <t>Proyecto piloto con IA/VR aplicada</t>
  </si>
  <si>
    <t>Evaluación y estandarización</t>
  </si>
  <si>
    <t>Lineamientos de uso de IA/VR en diseño</t>
  </si>
  <si>
    <t>OG-02 | Mejorar el sistema de trabajo para optimización en tiempo y costos</t>
  </si>
  <si>
    <t>OE-02.1 | Establecer indicadores de gestión / Reducir tiempos de entrega ≥ 10%</t>
  </si>
  <si>
    <t>KPI: % de reducción del tiempo de entrega de expedientes ≥ 10%</t>
  </si>
  <si>
    <t>Línea base de tiempos por cada actividad</t>
  </si>
  <si>
    <t>Matriz de tiempos actuales</t>
  </si>
  <si>
    <t>Definición de flujos BIM</t>
  </si>
  <si>
    <t>Flujo BIM estandarizado</t>
  </si>
  <si>
    <t>CP/Coordinador BIM</t>
  </si>
  <si>
    <t>Implementación piloto Armoni 1 / Catalina Living</t>
  </si>
  <si>
    <t>Expediente técnico bajo flujo BIM</t>
  </si>
  <si>
    <t>Medición de mejora de tiempos</t>
  </si>
  <si>
    <t>Informe comparativo pre/post BIM</t>
  </si>
  <si>
    <t>OE-02.2 | Reducir los errores de diseño mediante revisiones colaborativas</t>
  </si>
  <si>
    <t>KPI: % de reducción de observaciones de diseño en obra ≥ 20%</t>
  </si>
  <si>
    <t>Definición del proceso de revisión colaborativa</t>
  </si>
  <si>
    <t>Procedimiento de revisiones colaborativas</t>
  </si>
  <si>
    <t>CP/Procesos</t>
  </si>
  <si>
    <t>Programación de reuniones semanales interdisciplinarias</t>
  </si>
  <si>
    <t>Actas de reuniones interdisciplinarias</t>
  </si>
  <si>
    <t>Registro y seguimiento de observaciones</t>
  </si>
  <si>
    <t>Matriz de observaciones</t>
  </si>
  <si>
    <t>Cierre de observaciones antes de entrega a obra</t>
  </si>
  <si>
    <t>Expediente compatibilizado</t>
  </si>
  <si>
    <t>OE-02.3 | Implementar BIM en el 100% de los proyectos el 2026</t>
  </si>
  <si>
    <t>KPI: % de proyectos desarrollados bajo metodología BIM 100%</t>
  </si>
  <si>
    <t>Definición del Plan de Implementación BIM</t>
  </si>
  <si>
    <t>Plan de implementación BIM</t>
  </si>
  <si>
    <t>Capacitación del equipo y especialistas</t>
  </si>
  <si>
    <t>Acta de capacitación al personal</t>
  </si>
  <si>
    <t>Ejecución del proyecto piloto (Armoni 1)</t>
  </si>
  <si>
    <t>Modelo BIM integral</t>
  </si>
  <si>
    <t>Escalamiento BIM al total de proyectos</t>
  </si>
  <si>
    <t>Proyectos BIM en ejecución</t>
  </si>
  <si>
    <t>OE-02.4 | Uso de gadgets para mejorar procesos de Supervisión y Compatibilización</t>
  </si>
  <si>
    <t>KPI: % de revisiones en campo con soporte digital ≥ 80%</t>
  </si>
  <si>
    <t>Definición de requerimientos tecnológicos (tablets, software)</t>
  </si>
  <si>
    <t>Especificación de equipos</t>
  </si>
  <si>
    <t>Adquisición y configuración de equipos</t>
  </si>
  <si>
    <t>Equipos configurados</t>
  </si>
  <si>
    <t>Capacitación del equipo en uso en campo</t>
  </si>
  <si>
    <t>Registros de capacitación</t>
  </si>
  <si>
    <t>Implementación en supervisiones y compatibilización</t>
  </si>
  <si>
    <t>Reportes de supervisión digital</t>
  </si>
  <si>
    <t>OE-02.5 | Implementar Metrados en el Área</t>
  </si>
  <si>
    <t>KPI: % de proyectos que entregan metrados desde el Área ≥ 80%</t>
  </si>
  <si>
    <t>Definición del alcance de metrados</t>
  </si>
  <si>
    <t>Alcance de metrados</t>
  </si>
  <si>
    <t>Integración de metrados desde modelos BIM</t>
  </si>
  <si>
    <t>Metrados desde modelo BIM</t>
  </si>
  <si>
    <t>Entrega estandarizada de metrados por proyecto</t>
  </si>
  <si>
    <t>Metrados validados por proyecto</t>
  </si>
  <si>
    <t>OG-03 | Mejorar la Calidad en los proyectos</t>
  </si>
  <si>
    <t>OE-03.1 | Asegurar que los proyectos cumplan con Estándares de Calidad</t>
  </si>
  <si>
    <t>KPI: % de proyectos aprobados sin observaciones críticas ≥ 95%</t>
  </si>
  <si>
    <t>Definición de estándares de calidad aplicables / Manual de tolerancias</t>
  </si>
  <si>
    <t>Checklist de calidad</t>
  </si>
  <si>
    <t>CP/Calidad</t>
  </si>
  <si>
    <t>Implementación de revisiones técnicas internas</t>
  </si>
  <si>
    <t>Actas de reunión</t>
  </si>
  <si>
    <t>Validación cruzada Diseño-Calidad-Obra</t>
  </si>
  <si>
    <t>Actas de validación</t>
  </si>
  <si>
    <t>CP/Calidad/Constructora</t>
  </si>
  <si>
    <t>OE-03.2 | Iniciar la elaboración de Manual de Diseño y Especificaciones Técnicas</t>
  </si>
  <si>
    <t>KPI: % de avance del Manual de Diseño 100% elaborado y aprobado</t>
  </si>
  <si>
    <t>Recopilación de criterios y especificaciones existentes</t>
  </si>
  <si>
    <t>Índice de Manual</t>
  </si>
  <si>
    <t>Redacción del Manual de diseño</t>
  </si>
  <si>
    <t>Borrador de Manual</t>
  </si>
  <si>
    <t>Revisión y validación interáreas</t>
  </si>
  <si>
    <t>CP/Calidad/Inmobiliaria</t>
  </si>
  <si>
    <t>Aprobación y difusión del manual (1era versión)</t>
  </si>
  <si>
    <t>OE-03.3 | Medir la satisfacción del cliente (Inmobiliarias)</t>
  </si>
  <si>
    <t>KPI: Índice de satisfacción de las inmobiliarias ≥ 85%</t>
  </si>
  <si>
    <t>Definición de criterios de evaluación y encuesta</t>
  </si>
  <si>
    <t>Modelo de encuesta</t>
  </si>
  <si>
    <t>Aplicación de encuestas a inmobiliarias</t>
  </si>
  <si>
    <t>Resultados de encuesta</t>
  </si>
  <si>
    <t>Análisis de resultados y brechas</t>
  </si>
  <si>
    <t>Informe de resultados</t>
  </si>
  <si>
    <t>Implementación de mejoras en diseño</t>
  </si>
  <si>
    <t>Plan de acción de mejoras</t>
  </si>
  <si>
    <t>OG-04 | Elaborar procesos</t>
  </si>
  <si>
    <t>OE-04.1 | Revisión de procesos actuales y optimizarlos con BIM</t>
  </si>
  <si>
    <t>KPI: % de procesos optimizados e implementados con BIM ≥ 80%</t>
  </si>
  <si>
    <t>Levantamiento de procesos actuales de Metropolitano</t>
  </si>
  <si>
    <t>Mapa de procesos</t>
  </si>
  <si>
    <t>Identificación de oportunidades de mejora con BIM</t>
  </si>
  <si>
    <t>Procesos BIM</t>
  </si>
  <si>
    <t>Rediseño y estandarización de procesos</t>
  </si>
  <si>
    <t>Procesos operativos</t>
  </si>
  <si>
    <t>Reportes de Informes</t>
  </si>
  <si>
    <t>OE-04.2 | Establecer Manual de funciones de los integrantes del Organigrama</t>
  </si>
  <si>
    <t>KPI: % de puestos con funciones formalizadas 100%</t>
  </si>
  <si>
    <t>Revisión del organigrama de Metropolitano</t>
  </si>
  <si>
    <t>Organigrama</t>
  </si>
  <si>
    <t>Fichas de puesto</t>
  </si>
  <si>
    <t>Procesos/CP</t>
  </si>
  <si>
    <t>Elaboración del Manual de funciones</t>
  </si>
  <si>
    <t>Borrador del Manual</t>
  </si>
  <si>
    <t>Aprobación y difusión del manual</t>
  </si>
  <si>
    <t>Manual de funciones validado</t>
  </si>
  <si>
    <t>PLAN MENSUAL 2026 - METROPOLITANO (Diseño)</t>
  </si>
  <si>
    <t>OE-03.2</t>
  </si>
  <si>
    <t>OE-03.3</t>
  </si>
  <si>
    <t>OE-04.2</t>
  </si>
  <si>
    <t>PPC - PORCENTAJE DE PLAN CUMPLIDO 2026 - METROPOLITANO (Diseño)</t>
  </si>
  <si>
    <t>ANÁLISIS DE RESTRICCIONES 2026 - METROPOLITANO (Diseño)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</si>
</sst>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0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1B2A4A"/>
      <name val="Calibri"/>
      <family val="2"/>
      <scheme val="minor"/>
    </font>
    <font>
      <b/>
      <u/>
      <sz val="11"/>
      <color rgb="FF2E5090"/>
      <name val="Calibri"/>
      <family val="2"/>
      <scheme val="minor"/>
    </font>
    <font>
      <b/>
      <u/>
      <sz val="11"/>
      <color rgb="FF548235"/>
      <name val="Calibri"/>
      <family val="2"/>
      <scheme val="minor"/>
    </font>
    <font>
      <sz val="11"/>
      <color rgb="FF1B2A4A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i/>
      <sz val="9"/>
      <color rgb="FFFFFFFF"/>
      <name val="Calibri"/>
      <family val="2"/>
      <scheme val="minor"/>
    </font>
    <font>
      <sz val="10"/>
      <color rgb="FF1B2A4A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1B2A4A"/>
      <name val="Calibri"/>
      <family val="2"/>
      <scheme val="minor"/>
    </font>
    <font>
      <b/>
      <sz val="11"/>
      <color rgb="FF1B2A4A"/>
      <name val="Calibri"/>
      <family val="2"/>
      <scheme val="minor"/>
    </font>
    <font>
      <b/>
      <i/>
      <sz val="8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4"/>
      <color rgb="FF1B2A4A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4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8"/>
      <color rgb="FF595959"/>
      <name val="Calibri"/>
      <family val="2"/>
      <scheme val="minor"/>
    </font>
    <font>
      <sz val="9"/>
      <color rgb="FF595959"/>
      <name val="Calibri"/>
      <family val="2"/>
      <scheme val="minor"/>
    </font>
    <font>
      <sz val="10"/>
      <color rgb="FF595959"/>
      <name val="Calibri"/>
      <family val="2"/>
      <scheme val="minor"/>
    </font>
    <font>
      <sz val="9"/>
      <color rgb="FF1B2A4A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9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textRotation="90"/>
    </xf>
    <xf numFmtId="0" fontId="8" fillId="2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/>
    </xf>
    <xf numFmtId="0" fontId="0" fillId="6" borderId="2" xfId="0" applyFill="1" applyBorder="1"/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13" fillId="9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9" fontId="12" fillId="8" borderId="2" xfId="0" applyNumberFormat="1" applyFont="1" applyFill="1" applyBorder="1" applyAlignment="1">
      <alignment horizontal="center" vertical="center"/>
    </xf>
    <xf numFmtId="9" fontId="12" fillId="6" borderId="2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0" fillId="12" borderId="2" xfId="0" applyFill="1" applyBorder="1"/>
    <xf numFmtId="0" fontId="9" fillId="13" borderId="2" xfId="0" applyFont="1" applyFill="1" applyBorder="1" applyAlignment="1">
      <alignment horizontal="center" vertical="center" wrapText="1"/>
    </xf>
    <xf numFmtId="164" fontId="12" fillId="6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4" fontId="12" fillId="8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9" fontId="16" fillId="8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right" vertical="center"/>
    </xf>
    <xf numFmtId="1" fontId="12" fillId="6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1" fontId="19" fillId="14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1" fontId="2" fillId="10" borderId="2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1" fontId="2" fillId="13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1" fontId="21" fillId="9" borderId="2" xfId="0" applyNumberFormat="1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1" fontId="23" fillId="12" borderId="2" xfId="0" applyNumberFormat="1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1" fontId="25" fillId="15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11" borderId="2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left" vertical="center" wrapText="1"/>
    </xf>
    <xf numFmtId="0" fontId="0" fillId="12" borderId="2" xfId="0" applyFont="1" applyFill="1" applyBorder="1"/>
    <xf numFmtId="0" fontId="0" fillId="8" borderId="2" xfId="0" applyFont="1" applyFill="1" applyBorder="1"/>
    <xf numFmtId="0" fontId="0" fillId="6" borderId="2" xfId="0" applyFont="1" applyFill="1" applyBorder="1"/>
    <xf numFmtId="0" fontId="28" fillId="12" borderId="2" xfId="0" applyFont="1" applyFill="1" applyBorder="1" applyAlignment="1">
      <alignment horizontal="left" vertical="center" wrapText="1"/>
    </xf>
    <xf numFmtId="0" fontId="2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84"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numFmt numFmtId="165" formatCode="0.0%"/>
      <fill>
        <patternFill>
          <bgColor rgb="FFC6EF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0006"/>
      </font>
      <numFmt numFmtId="165" formatCode="0.0%"/>
      <fill>
        <patternFill>
          <bgColor rgb="FFFFC7CE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Avance Mensual - GIS (Postventa)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Avance</c:v>
          </c:tx>
          <c:spPr>
            <a:solidFill>
              <a:srgbClr val="4472C4"/>
            </a:solidFill>
          </c:spPr>
          <c:invertIfNegative val="0"/>
          <c:cat>
            <c:strRef>
              <c:f>'PM - GIS'!$G$84:$AN$84</c:f>
              <c:strCache>
                <c:ptCount val="34"/>
                <c:pt idx="0">
                  <c:v>Ene</c:v>
                </c:pt>
                <c:pt idx="3">
                  <c:v>Feb</c:v>
                </c:pt>
                <c:pt idx="6">
                  <c:v>Mar</c:v>
                </c:pt>
                <c:pt idx="9">
                  <c:v>Abr</c:v>
                </c:pt>
                <c:pt idx="12">
                  <c:v>May</c:v>
                </c:pt>
                <c:pt idx="15">
                  <c:v>Jun</c:v>
                </c:pt>
                <c:pt idx="18">
                  <c:v>Jul</c:v>
                </c:pt>
                <c:pt idx="21">
                  <c:v>Ago</c:v>
                </c:pt>
                <c:pt idx="24">
                  <c:v>Sep</c:v>
                </c:pt>
                <c:pt idx="27">
                  <c:v>Oct</c:v>
                </c:pt>
                <c:pt idx="30">
                  <c:v>Nov</c:v>
                </c:pt>
                <c:pt idx="33">
                  <c:v>Dic</c:v>
                </c:pt>
              </c:strCache>
            </c:strRef>
          </c:cat>
          <c:val>
            <c:numRef>
              <c:f>'PM - GIS'!$G$85:$AN$85</c:f>
              <c:numCache>
                <c:formatCode>0%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3-4AAE-BECA-000F489A4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Avance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PPC Mensual - GIS (Postventa)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Comprometidas</c:v>
          </c:tx>
          <c:spPr>
            <a:solidFill>
              <a:srgbClr val="ED7D31"/>
            </a:solidFill>
          </c:spPr>
          <c:invertIfNegative val="0"/>
          <c:cat>
            <c:strRef>
              <c:f>'PPC - GIS'!$F$85:$AM$85</c:f>
              <c:strCache>
                <c:ptCount val="34"/>
                <c:pt idx="0">
                  <c:v>Ene</c:v>
                </c:pt>
                <c:pt idx="3">
                  <c:v>Feb</c:v>
                </c:pt>
                <c:pt idx="6">
                  <c:v>Mar</c:v>
                </c:pt>
                <c:pt idx="9">
                  <c:v>Abr</c:v>
                </c:pt>
                <c:pt idx="12">
                  <c:v>May</c:v>
                </c:pt>
                <c:pt idx="15">
                  <c:v>Jun</c:v>
                </c:pt>
                <c:pt idx="18">
                  <c:v>Jul</c:v>
                </c:pt>
                <c:pt idx="21">
                  <c:v>Ago</c:v>
                </c:pt>
                <c:pt idx="24">
                  <c:v>Sep</c:v>
                </c:pt>
                <c:pt idx="27">
                  <c:v>Oct</c:v>
                </c:pt>
                <c:pt idx="30">
                  <c:v>Nov</c:v>
                </c:pt>
                <c:pt idx="33">
                  <c:v>Dic</c:v>
                </c:pt>
              </c:strCache>
            </c:strRef>
          </c:cat>
          <c:val>
            <c:numRef>
              <c:f>'PPC - GIS'!$F$86:$AM$86</c:f>
              <c:numCache>
                <c:formatCode>0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B-4C28-A9DE-996289A8507B}"/>
            </c:ext>
          </c:extLst>
        </c:ser>
        <c:ser>
          <c:idx val="1"/>
          <c:order val="1"/>
          <c:tx>
            <c:v>Ejecutadas</c:v>
          </c:tx>
          <c:spPr>
            <a:solidFill>
              <a:srgbClr val="548235"/>
            </a:solidFill>
          </c:spPr>
          <c:invertIfNegative val="0"/>
          <c:val>
            <c:numRef>
              <c:f>'PPC - GIS'!$F$87:$AM$87</c:f>
              <c:numCache>
                <c:formatCode>0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B-4C28-A9DE-996289A85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Actividades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Tendencia PPC - GIS (Postventa)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PPC %</c:v>
          </c:tx>
          <c:spPr>
            <a:ln w="38100">
              <a:solidFill>
                <a:srgbClr val="1B2A4A"/>
              </a:solidFill>
            </a:ln>
          </c:spPr>
          <c:marker>
            <c:symbol val="circle"/>
            <c:size val="8"/>
            <c:spPr>
              <a:solidFill>
                <a:srgbClr val="4472C4"/>
              </a:solidFill>
              <a:ln>
                <a:solidFill>
                  <a:srgbClr val="1B2A4A"/>
                </a:solidFill>
              </a:ln>
            </c:spPr>
          </c:marker>
          <c:cat>
            <c:strRef>
              <c:f>'PPC - GIS'!$F$85:$AM$85</c:f>
              <c:strCache>
                <c:ptCount val="34"/>
                <c:pt idx="0">
                  <c:v>Ene</c:v>
                </c:pt>
                <c:pt idx="3">
                  <c:v>Feb</c:v>
                </c:pt>
                <c:pt idx="6">
                  <c:v>Mar</c:v>
                </c:pt>
                <c:pt idx="9">
                  <c:v>Abr</c:v>
                </c:pt>
                <c:pt idx="12">
                  <c:v>May</c:v>
                </c:pt>
                <c:pt idx="15">
                  <c:v>Jun</c:v>
                </c:pt>
                <c:pt idx="18">
                  <c:v>Jul</c:v>
                </c:pt>
                <c:pt idx="21">
                  <c:v>Ago</c:v>
                </c:pt>
                <c:pt idx="24">
                  <c:v>Sep</c:v>
                </c:pt>
                <c:pt idx="27">
                  <c:v>Oct</c:v>
                </c:pt>
                <c:pt idx="30">
                  <c:v>Nov</c:v>
                </c:pt>
                <c:pt idx="33">
                  <c:v>Dic</c:v>
                </c:pt>
              </c:strCache>
            </c:strRef>
          </c:cat>
          <c:val>
            <c:numRef>
              <c:f>'PPC - GIS'!$F$88:$AM$88</c:f>
              <c:numCache>
                <c:formatCode>0%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4C-4214-96FA-D766BD79DA60}"/>
            </c:ext>
          </c:extLst>
        </c:ser>
        <c:ser>
          <c:idx val="1"/>
          <c:order val="1"/>
          <c:tx>
            <c:v>Meta (80%)</c:v>
          </c:tx>
          <c:spPr>
            <a:ln w="254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'PPC - GIS'!$F$85:$AM$85</c:f>
              <c:strCache>
                <c:ptCount val="34"/>
                <c:pt idx="0">
                  <c:v>Ene</c:v>
                </c:pt>
                <c:pt idx="3">
                  <c:v>Feb</c:v>
                </c:pt>
                <c:pt idx="6">
                  <c:v>Mar</c:v>
                </c:pt>
                <c:pt idx="9">
                  <c:v>Abr</c:v>
                </c:pt>
                <c:pt idx="12">
                  <c:v>May</c:v>
                </c:pt>
                <c:pt idx="15">
                  <c:v>Jun</c:v>
                </c:pt>
                <c:pt idx="18">
                  <c:v>Jul</c:v>
                </c:pt>
                <c:pt idx="21">
                  <c:v>Ago</c:v>
                </c:pt>
                <c:pt idx="24">
                  <c:v>Sep</c:v>
                </c:pt>
                <c:pt idx="27">
                  <c:v>Oct</c:v>
                </c:pt>
                <c:pt idx="30">
                  <c:v>Nov</c:v>
                </c:pt>
                <c:pt idx="33">
                  <c:v>Dic</c:v>
                </c:pt>
              </c:strCache>
            </c:strRef>
          </c:cat>
          <c:val>
            <c:numRef>
              <c:f>'PPC - GIS'!$F$88:$AM$88</c:f>
              <c:numCache>
                <c:formatCode>0%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C-4214-96FA-D766BD79D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PPC %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Estado de Restricciones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Restricciones</c:v>
          </c:tx>
          <c:dPt>
            <c:idx val="0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0-04DA-49D3-B9D6-4F580041A64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1-04DA-49D3-B9D6-4F580041A64D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2-04DA-49D3-B9D6-4F580041A64D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4DA-49D3-B9D6-4F580041A6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'AR - GIS'!$A$68:$A$71</c:f>
              <c:strCache>
                <c:ptCount val="4"/>
                <c:pt idx="0">
                  <c:v>Pendientes</c:v>
                </c:pt>
                <c:pt idx="1">
                  <c:v>En Gestión</c:v>
                </c:pt>
                <c:pt idx="2">
                  <c:v>Levantadas</c:v>
                </c:pt>
                <c:pt idx="3">
                  <c:v>Vencidas</c:v>
                </c:pt>
              </c:strCache>
            </c:strRef>
          </c:cat>
          <c:val>
            <c:numRef>
              <c:f>'AR - GIS'!$D$68:$D$71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DA-49D3-B9D6-4F580041A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Restricciones por Nivel de Impacto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Impacto</c:v>
          </c:tx>
          <c:dPt>
            <c:idx val="0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0-7EFA-4369-AFD1-6CEB97F3C533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1-7EFA-4369-AFD1-6CEB97F3C533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2-7EFA-4369-AFD1-6CEB97F3C533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7EFA-4369-AFD1-6CEB97F3C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'AR - GIS'!$A$75:$A$78</c:f>
              <c:strCache>
                <c:ptCount val="4"/>
                <c:pt idx="0">
                  <c:v>Bajo</c:v>
                </c:pt>
                <c:pt idx="1">
                  <c:v>Medio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'AR - GIS'!$D$75:$D$78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FA-4369-AFD1-6CEB97F3C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Avance Mensual - METROPOLITANO (Diseño)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Avance</c:v>
          </c:tx>
          <c:spPr>
            <a:solidFill>
              <a:srgbClr val="4472C4"/>
            </a:solidFill>
          </c:spPr>
          <c:invertIfNegative val="0"/>
          <c:cat>
            <c:strRef>
              <c:f>'PM - METRO'!$G$58:$AN$58</c:f>
              <c:strCache>
                <c:ptCount val="34"/>
                <c:pt idx="0">
                  <c:v>Ene</c:v>
                </c:pt>
                <c:pt idx="3">
                  <c:v>Feb</c:v>
                </c:pt>
                <c:pt idx="6">
                  <c:v>Mar</c:v>
                </c:pt>
                <c:pt idx="9">
                  <c:v>Abr</c:v>
                </c:pt>
                <c:pt idx="12">
                  <c:v>May</c:v>
                </c:pt>
                <c:pt idx="15">
                  <c:v>Jun</c:v>
                </c:pt>
                <c:pt idx="18">
                  <c:v>Jul</c:v>
                </c:pt>
                <c:pt idx="21">
                  <c:v>Ago</c:v>
                </c:pt>
                <c:pt idx="24">
                  <c:v>Sep</c:v>
                </c:pt>
                <c:pt idx="27">
                  <c:v>Oct</c:v>
                </c:pt>
                <c:pt idx="30">
                  <c:v>Nov</c:v>
                </c:pt>
                <c:pt idx="33">
                  <c:v>Dic</c:v>
                </c:pt>
              </c:strCache>
            </c:strRef>
          </c:cat>
          <c:val>
            <c:numRef>
              <c:f>'PM - METRO'!$G$59:$AN$59</c:f>
              <c:numCache>
                <c:formatCode>0%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E-4B31-A811-F9D877D95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Avance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PPC Mensual - METROPOLITANO (Diseño)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Comprometidas</c:v>
          </c:tx>
          <c:spPr>
            <a:solidFill>
              <a:srgbClr val="ED7D31"/>
            </a:solidFill>
          </c:spPr>
          <c:invertIfNegative val="0"/>
          <c:cat>
            <c:strRef>
              <c:f>'PPC - METRO'!$F$59:$AM$59</c:f>
              <c:strCache>
                <c:ptCount val="34"/>
                <c:pt idx="0">
                  <c:v>Ene</c:v>
                </c:pt>
                <c:pt idx="3">
                  <c:v>Feb</c:v>
                </c:pt>
                <c:pt idx="6">
                  <c:v>Mar</c:v>
                </c:pt>
                <c:pt idx="9">
                  <c:v>Abr</c:v>
                </c:pt>
                <c:pt idx="12">
                  <c:v>May</c:v>
                </c:pt>
                <c:pt idx="15">
                  <c:v>Jun</c:v>
                </c:pt>
                <c:pt idx="18">
                  <c:v>Jul</c:v>
                </c:pt>
                <c:pt idx="21">
                  <c:v>Ago</c:v>
                </c:pt>
                <c:pt idx="24">
                  <c:v>Sep</c:v>
                </c:pt>
                <c:pt idx="27">
                  <c:v>Oct</c:v>
                </c:pt>
                <c:pt idx="30">
                  <c:v>Nov</c:v>
                </c:pt>
                <c:pt idx="33">
                  <c:v>Dic</c:v>
                </c:pt>
              </c:strCache>
            </c:strRef>
          </c:cat>
          <c:val>
            <c:numRef>
              <c:f>'PPC - METRO'!$F$60:$AM$60</c:f>
              <c:numCache>
                <c:formatCode>0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8-4C87-8974-A57876361BF4}"/>
            </c:ext>
          </c:extLst>
        </c:ser>
        <c:ser>
          <c:idx val="1"/>
          <c:order val="1"/>
          <c:tx>
            <c:v>Ejecutadas</c:v>
          </c:tx>
          <c:spPr>
            <a:solidFill>
              <a:srgbClr val="548235"/>
            </a:solidFill>
          </c:spPr>
          <c:invertIfNegative val="0"/>
          <c:val>
            <c:numRef>
              <c:f>'PPC - METRO'!$F$61:$AM$61</c:f>
              <c:numCache>
                <c:formatCode>0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8-4C87-8974-A57876361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70001"/>
        <c:axId val="50070002"/>
      </c:barChart>
      <c:cat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Actividades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Tendencia PPC - METROPOLITANO (Diseño)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PPC %</c:v>
          </c:tx>
          <c:spPr>
            <a:ln w="38100">
              <a:solidFill>
                <a:srgbClr val="1B2A4A"/>
              </a:solidFill>
            </a:ln>
          </c:spPr>
          <c:marker>
            <c:symbol val="circle"/>
            <c:size val="8"/>
            <c:spPr>
              <a:solidFill>
                <a:srgbClr val="4472C4"/>
              </a:solidFill>
              <a:ln>
                <a:solidFill>
                  <a:srgbClr val="1B2A4A"/>
                </a:solidFill>
              </a:ln>
            </c:spPr>
          </c:marker>
          <c:cat>
            <c:strRef>
              <c:f>'PPC - METRO'!$F$59:$AM$59</c:f>
              <c:strCache>
                <c:ptCount val="34"/>
                <c:pt idx="0">
                  <c:v>Ene</c:v>
                </c:pt>
                <c:pt idx="3">
                  <c:v>Feb</c:v>
                </c:pt>
                <c:pt idx="6">
                  <c:v>Mar</c:v>
                </c:pt>
                <c:pt idx="9">
                  <c:v>Abr</c:v>
                </c:pt>
                <c:pt idx="12">
                  <c:v>May</c:v>
                </c:pt>
                <c:pt idx="15">
                  <c:v>Jun</c:v>
                </c:pt>
                <c:pt idx="18">
                  <c:v>Jul</c:v>
                </c:pt>
                <c:pt idx="21">
                  <c:v>Ago</c:v>
                </c:pt>
                <c:pt idx="24">
                  <c:v>Sep</c:v>
                </c:pt>
                <c:pt idx="27">
                  <c:v>Oct</c:v>
                </c:pt>
                <c:pt idx="30">
                  <c:v>Nov</c:v>
                </c:pt>
                <c:pt idx="33">
                  <c:v>Dic</c:v>
                </c:pt>
              </c:strCache>
            </c:strRef>
          </c:cat>
          <c:val>
            <c:numRef>
              <c:f>'PPC - METRO'!$F$62:$AM$62</c:f>
              <c:numCache>
                <c:formatCode>0%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2-42C5-B45B-62327EA61B4C}"/>
            </c:ext>
          </c:extLst>
        </c:ser>
        <c:ser>
          <c:idx val="1"/>
          <c:order val="1"/>
          <c:tx>
            <c:v>Meta (80%)</c:v>
          </c:tx>
          <c:spPr>
            <a:ln w="254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'PPC - METRO'!$F$59:$AM$59</c:f>
              <c:strCache>
                <c:ptCount val="34"/>
                <c:pt idx="0">
                  <c:v>Ene</c:v>
                </c:pt>
                <c:pt idx="3">
                  <c:v>Feb</c:v>
                </c:pt>
                <c:pt idx="6">
                  <c:v>Mar</c:v>
                </c:pt>
                <c:pt idx="9">
                  <c:v>Abr</c:v>
                </c:pt>
                <c:pt idx="12">
                  <c:v>May</c:v>
                </c:pt>
                <c:pt idx="15">
                  <c:v>Jun</c:v>
                </c:pt>
                <c:pt idx="18">
                  <c:v>Jul</c:v>
                </c:pt>
                <c:pt idx="21">
                  <c:v>Ago</c:v>
                </c:pt>
                <c:pt idx="24">
                  <c:v>Sep</c:v>
                </c:pt>
                <c:pt idx="27">
                  <c:v>Oct</c:v>
                </c:pt>
                <c:pt idx="30">
                  <c:v>Nov</c:v>
                </c:pt>
                <c:pt idx="33">
                  <c:v>Dic</c:v>
                </c:pt>
              </c:strCache>
            </c:strRef>
          </c:cat>
          <c:val>
            <c:numRef>
              <c:f>'PPC - METRO'!$F$62:$AM$62</c:f>
              <c:numCache>
                <c:formatCode>0%</c:formatCode>
                <c:ptCount val="34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  <c:pt idx="12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  <c:pt idx="30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2-42C5-B45B-62327EA61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80001"/>
        <c:axId val="50080002"/>
      </c:line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PPC %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Estado de Restricciones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Restricciones</c:v>
          </c:tx>
          <c:dPt>
            <c:idx val="0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0-BEE8-4662-9291-D74DC08600B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1-BEE8-4662-9291-D74DC08600B7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2-BEE8-4662-9291-D74DC08600B7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BEE8-4662-9291-D74DC08600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'AR - METRO'!$A$68:$A$71</c:f>
              <c:strCache>
                <c:ptCount val="4"/>
                <c:pt idx="0">
                  <c:v>Pendientes</c:v>
                </c:pt>
                <c:pt idx="1">
                  <c:v>En Gestión</c:v>
                </c:pt>
                <c:pt idx="2">
                  <c:v>Levantadas</c:v>
                </c:pt>
                <c:pt idx="3">
                  <c:v>Vencidas</c:v>
                </c:pt>
              </c:strCache>
            </c:strRef>
          </c:cat>
          <c:val>
            <c:numRef>
              <c:f>'AR - METRO'!$D$68:$D$71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E8-4662-9291-D74DC0860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Restricciones por Nivel de Impacto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Impacto</c:v>
          </c:tx>
          <c:dPt>
            <c:idx val="0"/>
            <c:bubble3D val="0"/>
            <c:spPr>
              <a:solidFill>
                <a:srgbClr val="548235"/>
              </a:solidFill>
            </c:spPr>
            <c:extLst>
              <c:ext xmlns:c16="http://schemas.microsoft.com/office/drawing/2014/chart" uri="{C3380CC4-5D6E-409C-BE32-E72D297353CC}">
                <c16:uniqueId val="{00000000-3913-4076-96F6-E97B372E948E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1-3913-4076-96F6-E97B372E948E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2-3913-4076-96F6-E97B372E948E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3913-4076-96F6-E97B372E94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'AR - METRO'!$A$75:$A$78</c:f>
              <c:strCache>
                <c:ptCount val="4"/>
                <c:pt idx="0">
                  <c:v>Bajo</c:v>
                </c:pt>
                <c:pt idx="1">
                  <c:v>Medio</c:v>
                </c:pt>
                <c:pt idx="2">
                  <c:v>Alto</c:v>
                </c:pt>
                <c:pt idx="3">
                  <c:v>Crítico</c:v>
                </c:pt>
              </c:strCache>
            </c:strRef>
          </c:cat>
          <c:val>
            <c:numRef>
              <c:f>'AR - METRO'!$D$75:$D$78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13-4076-96F6-E97B372E9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87</xdr:row>
      <xdr:rowOff>0</xdr:rowOff>
    </xdr:from>
    <xdr:to>
      <xdr:col>7</xdr:col>
      <xdr:colOff>552450</xdr:colOff>
      <xdr:row>107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90</xdr:row>
      <xdr:rowOff>0</xdr:rowOff>
    </xdr:from>
    <xdr:to>
      <xdr:col>10</xdr:col>
      <xdr:colOff>209550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112</xdr:row>
      <xdr:rowOff>0</xdr:rowOff>
    </xdr:from>
    <xdr:to>
      <xdr:col>10</xdr:col>
      <xdr:colOff>209550</xdr:colOff>
      <xdr:row>132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66</xdr:row>
      <xdr:rowOff>0</xdr:rowOff>
    </xdr:from>
    <xdr:to>
      <xdr:col>11</xdr:col>
      <xdr:colOff>695325</xdr:colOff>
      <xdr:row>78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73</xdr:row>
      <xdr:rowOff>0</xdr:rowOff>
    </xdr:from>
    <xdr:to>
      <xdr:col>11</xdr:col>
      <xdr:colOff>695325</xdr:colOff>
      <xdr:row>90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61</xdr:row>
      <xdr:rowOff>0</xdr:rowOff>
    </xdr:from>
    <xdr:to>
      <xdr:col>7</xdr:col>
      <xdr:colOff>552450</xdr:colOff>
      <xdr:row>81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64</xdr:row>
      <xdr:rowOff>0</xdr:rowOff>
    </xdr:from>
    <xdr:to>
      <xdr:col>10</xdr:col>
      <xdr:colOff>209550</xdr:colOff>
      <xdr:row>85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10</xdr:col>
      <xdr:colOff>209550</xdr:colOff>
      <xdr:row>106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66</xdr:row>
      <xdr:rowOff>0</xdr:rowOff>
    </xdr:from>
    <xdr:to>
      <xdr:col>11</xdr:col>
      <xdr:colOff>695325</xdr:colOff>
      <xdr:row>78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73</xdr:row>
      <xdr:rowOff>0</xdr:rowOff>
    </xdr:from>
    <xdr:to>
      <xdr:col>11</xdr:col>
      <xdr:colOff>695325</xdr:colOff>
      <xdr:row>90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P19"/>
  <sheetViews>
    <sheetView showGridLines="0" tabSelected="1" zoomScale="85" zoomScaleNormal="85" workbookViewId="0">
      <selection activeCell="B13" sqref="B13:P19"/>
    </sheetView>
  </sheetViews>
  <sheetFormatPr baseColWidth="10" defaultColWidth="8.88671875" defaultRowHeight="14.4" x14ac:dyDescent="0.3"/>
  <cols>
    <col min="1" max="1" width="3.6640625" customWidth="1"/>
    <col min="2" max="16" width="15.6640625" customWidth="1"/>
  </cols>
  <sheetData>
    <row r="1" spans="1:16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30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30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5" spans="1:16" ht="30" customHeight="1" x14ac:dyDescent="0.3">
      <c r="B5" s="25" t="s">
        <v>1</v>
      </c>
      <c r="C5" s="25"/>
      <c r="D5" s="25"/>
      <c r="E5" s="25"/>
      <c r="F5" s="25"/>
      <c r="G5" s="25"/>
      <c r="H5" s="25"/>
      <c r="I5" s="26" t="s">
        <v>2</v>
      </c>
      <c r="J5" s="26"/>
      <c r="K5" s="26"/>
      <c r="L5" s="26"/>
      <c r="M5" s="26"/>
      <c r="N5" s="26"/>
      <c r="O5" s="26"/>
      <c r="P5" s="26"/>
    </row>
    <row r="7" spans="1:16" ht="34.950000000000003" customHeight="1" x14ac:dyDescent="0.3">
      <c r="B7" s="27" t="s">
        <v>3</v>
      </c>
      <c r="C7" s="27"/>
      <c r="D7" s="27"/>
      <c r="E7" s="28" t="s">
        <v>4</v>
      </c>
      <c r="F7" s="28"/>
      <c r="G7" s="28"/>
      <c r="H7" s="28"/>
      <c r="I7" s="27" t="s">
        <v>3</v>
      </c>
      <c r="J7" s="27"/>
      <c r="K7" s="27"/>
      <c r="L7" s="27"/>
      <c r="M7" s="29" t="s">
        <v>5</v>
      </c>
      <c r="N7" s="29"/>
      <c r="O7" s="29"/>
      <c r="P7" s="29"/>
    </row>
    <row r="8" spans="1:16" ht="34.950000000000003" customHeight="1" x14ac:dyDescent="0.3">
      <c r="B8" s="27" t="s">
        <v>6</v>
      </c>
      <c r="C8" s="27"/>
      <c r="D8" s="27"/>
      <c r="E8" s="28" t="s">
        <v>7</v>
      </c>
      <c r="F8" s="28"/>
      <c r="G8" s="28"/>
      <c r="H8" s="28"/>
      <c r="I8" s="27" t="s">
        <v>6</v>
      </c>
      <c r="J8" s="27"/>
      <c r="K8" s="27"/>
      <c r="L8" s="27"/>
      <c r="M8" s="29" t="s">
        <v>8</v>
      </c>
      <c r="N8" s="29"/>
      <c r="O8" s="29"/>
      <c r="P8" s="29"/>
    </row>
    <row r="9" spans="1:16" ht="34.950000000000003" customHeight="1" x14ac:dyDescent="0.3">
      <c r="B9" s="27" t="s">
        <v>9</v>
      </c>
      <c r="C9" s="27"/>
      <c r="D9" s="27"/>
      <c r="E9" s="28" t="s">
        <v>10</v>
      </c>
      <c r="F9" s="28"/>
      <c r="G9" s="28"/>
      <c r="H9" s="28"/>
      <c r="I9" s="27" t="s">
        <v>9</v>
      </c>
      <c r="J9" s="27"/>
      <c r="K9" s="27"/>
      <c r="L9" s="27"/>
      <c r="M9" s="29" t="s">
        <v>11</v>
      </c>
      <c r="N9" s="29"/>
      <c r="O9" s="29"/>
      <c r="P9" s="29"/>
    </row>
    <row r="10" spans="1:16" ht="34.950000000000003" customHeight="1" x14ac:dyDescent="0.3">
      <c r="B10" s="27" t="s">
        <v>12</v>
      </c>
      <c r="C10" s="27"/>
      <c r="D10" s="27"/>
      <c r="E10" s="28" t="s">
        <v>13</v>
      </c>
      <c r="F10" s="28"/>
      <c r="G10" s="28"/>
      <c r="H10" s="28"/>
      <c r="I10" s="27" t="s">
        <v>12</v>
      </c>
      <c r="J10" s="27"/>
      <c r="K10" s="27"/>
      <c r="L10" s="27"/>
      <c r="M10" s="29" t="s">
        <v>14</v>
      </c>
      <c r="N10" s="29"/>
      <c r="O10" s="29"/>
      <c r="P10" s="29"/>
    </row>
    <row r="13" spans="1:16" x14ac:dyDescent="0.3">
      <c r="B13" s="30" t="s">
        <v>15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spans="1:16" x14ac:dyDescent="0.3"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 x14ac:dyDescent="0.3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x14ac:dyDescent="0.3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2:16" x14ac:dyDescent="0.3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2:16" x14ac:dyDescent="0.3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2:16" x14ac:dyDescent="0.3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</sheetData>
  <mergeCells count="20">
    <mergeCell ref="B10:D10"/>
    <mergeCell ref="E10:H10"/>
    <mergeCell ref="I10:L10"/>
    <mergeCell ref="M10:P10"/>
    <mergeCell ref="B13:P19"/>
    <mergeCell ref="B8:D8"/>
    <mergeCell ref="E8:H8"/>
    <mergeCell ref="I8:L8"/>
    <mergeCell ref="M8:P8"/>
    <mergeCell ref="B9:D9"/>
    <mergeCell ref="E9:H9"/>
    <mergeCell ref="I9:L9"/>
    <mergeCell ref="M9:P9"/>
    <mergeCell ref="A1:P3"/>
    <mergeCell ref="B5:H5"/>
    <mergeCell ref="I5:P5"/>
    <mergeCell ref="B7:D7"/>
    <mergeCell ref="E7:H7"/>
    <mergeCell ref="I7:L7"/>
    <mergeCell ref="M7:P7"/>
  </mergeCells>
  <hyperlinks>
    <hyperlink ref="E7" location="'LA - GIS'!A1" display="→ Ir a LA - GIS" xr:uid="{00000000-0004-0000-0000-000000000000}"/>
    <hyperlink ref="M7" location="'LA - METRO'!A1" display="→ Ir a LA - METRO" xr:uid="{00000000-0004-0000-0000-000001000000}"/>
    <hyperlink ref="E8" location="'PM - GIS'!A1" display="→ Ir a PM - GIS" xr:uid="{00000000-0004-0000-0000-000002000000}"/>
    <hyperlink ref="M8" location="'PM - METRO'!A1" display="→ Ir a PM - METRO" xr:uid="{00000000-0004-0000-0000-000003000000}"/>
    <hyperlink ref="E9" location="'PPC - GIS'!A1" display="→ Ir a PPC - GIS" xr:uid="{00000000-0004-0000-0000-000004000000}"/>
    <hyperlink ref="M9" location="'PPC - METRO'!A1" display="→ Ir a PPC - METRO" xr:uid="{00000000-0004-0000-0000-000005000000}"/>
    <hyperlink ref="E10" location="'AR - GIS'!A1" display="→ Ir a AR - GIS" xr:uid="{00000000-0004-0000-0000-000006000000}"/>
    <hyperlink ref="M10" location="'AR - METRO'!A1" display="→ Ir a AR - METRO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BE109"/>
  <sheetViews>
    <sheetView showGridLines="0" zoomScaleNormal="100" workbookViewId="0">
      <pane xSplit="5" ySplit="4" topLeftCell="F39" activePane="bottomRight" state="frozen"/>
      <selection pane="topRight" activeCell="F1" sqref="F1"/>
      <selection pane="bottomLeft" activeCell="A5" sqref="A5"/>
      <selection pane="bottomRight" activeCell="F3" sqref="F1:F1048576"/>
    </sheetView>
  </sheetViews>
  <sheetFormatPr baseColWidth="10" defaultColWidth="8.88671875" defaultRowHeight="14.4" x14ac:dyDescent="0.3"/>
  <cols>
    <col min="1" max="1" width="5.6640625" customWidth="1"/>
    <col min="2" max="2" width="8.6640625" customWidth="1"/>
    <col min="3" max="3" width="45.6640625" customWidth="1"/>
    <col min="4" max="4" width="35.6640625" customWidth="1"/>
    <col min="5" max="5" width="21.21875" customWidth="1"/>
    <col min="6" max="57" width="4.33203125" customWidth="1"/>
  </cols>
  <sheetData>
    <row r="1" spans="1:57" ht="34.950000000000003" customHeight="1" x14ac:dyDescent="0.3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</row>
    <row r="2" spans="1:57" ht="22.05" customHeight="1" x14ac:dyDescent="0.3">
      <c r="A2" s="32" t="s">
        <v>17</v>
      </c>
      <c r="B2" s="32"/>
      <c r="C2" s="32"/>
      <c r="D2" s="32"/>
      <c r="E2" s="32"/>
      <c r="F2" s="33" t="s">
        <v>18</v>
      </c>
      <c r="G2" s="33"/>
      <c r="H2" s="33"/>
      <c r="I2" s="33"/>
      <c r="J2" s="33" t="s">
        <v>19</v>
      </c>
      <c r="K2" s="33"/>
      <c r="L2" s="33"/>
      <c r="M2" s="33"/>
      <c r="N2" s="33" t="s">
        <v>20</v>
      </c>
      <c r="O2" s="33"/>
      <c r="P2" s="33"/>
      <c r="Q2" s="33"/>
      <c r="R2" s="33"/>
      <c r="S2" s="33" t="s">
        <v>21</v>
      </c>
      <c r="T2" s="33"/>
      <c r="U2" s="33"/>
      <c r="V2" s="33"/>
      <c r="W2" s="33" t="s">
        <v>22</v>
      </c>
      <c r="X2" s="33"/>
      <c r="Y2" s="33"/>
      <c r="Z2" s="33"/>
      <c r="AA2" s="33" t="s">
        <v>23</v>
      </c>
      <c r="AB2" s="33"/>
      <c r="AC2" s="33"/>
      <c r="AD2" s="33"/>
      <c r="AE2" s="33"/>
      <c r="AF2" s="33" t="s">
        <v>24</v>
      </c>
      <c r="AG2" s="33"/>
      <c r="AH2" s="33"/>
      <c r="AI2" s="33"/>
      <c r="AJ2" s="33" t="s">
        <v>25</v>
      </c>
      <c r="AK2" s="33"/>
      <c r="AL2" s="33"/>
      <c r="AM2" s="33"/>
      <c r="AN2" s="33"/>
      <c r="AO2" s="33" t="s">
        <v>26</v>
      </c>
      <c r="AP2" s="33"/>
      <c r="AQ2" s="33"/>
      <c r="AR2" s="33"/>
      <c r="AS2" s="33" t="s">
        <v>27</v>
      </c>
      <c r="AT2" s="33"/>
      <c r="AU2" s="33"/>
      <c r="AV2" s="33"/>
      <c r="AW2" s="33" t="s">
        <v>28</v>
      </c>
      <c r="AX2" s="33"/>
      <c r="AY2" s="33"/>
      <c r="AZ2" s="33"/>
      <c r="BA2" s="33"/>
      <c r="BB2" s="33" t="s">
        <v>29</v>
      </c>
      <c r="BC2" s="33"/>
      <c r="BD2" s="33"/>
      <c r="BE2" s="33"/>
    </row>
    <row r="3" spans="1:57" ht="30" customHeight="1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49</v>
      </c>
      <c r="U3" s="2" t="s">
        <v>50</v>
      </c>
      <c r="V3" s="2" t="s">
        <v>51</v>
      </c>
      <c r="W3" s="2" t="s">
        <v>52</v>
      </c>
      <c r="X3" s="2" t="s">
        <v>53</v>
      </c>
      <c r="Y3" s="2" t="s">
        <v>54</v>
      </c>
      <c r="Z3" s="2" t="s">
        <v>55</v>
      </c>
      <c r="AA3" s="2" t="s">
        <v>56</v>
      </c>
      <c r="AB3" s="2" t="s">
        <v>57</v>
      </c>
      <c r="AC3" s="2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2" t="s">
        <v>63</v>
      </c>
      <c r="AI3" s="2" t="s">
        <v>64</v>
      </c>
      <c r="AJ3" s="2" t="s">
        <v>65</v>
      </c>
      <c r="AK3" s="2" t="s">
        <v>66</v>
      </c>
      <c r="AL3" s="2" t="s">
        <v>67</v>
      </c>
      <c r="AM3" s="2" t="s">
        <v>68</v>
      </c>
      <c r="AN3" s="2" t="s">
        <v>69</v>
      </c>
      <c r="AO3" s="2" t="s">
        <v>70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75</v>
      </c>
      <c r="AU3" s="2" t="s">
        <v>76</v>
      </c>
      <c r="AV3" s="2" t="s">
        <v>77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82</v>
      </c>
      <c r="BB3" s="2" t="s">
        <v>83</v>
      </c>
      <c r="BC3" s="2" t="s">
        <v>84</v>
      </c>
      <c r="BD3" s="2" t="s">
        <v>85</v>
      </c>
      <c r="BE3" s="2" t="s">
        <v>86</v>
      </c>
    </row>
    <row r="4" spans="1:57" ht="34.950000000000003" customHeight="1" x14ac:dyDescent="0.3">
      <c r="A4" s="1"/>
      <c r="B4" s="1"/>
      <c r="C4" s="1"/>
      <c r="D4" s="1"/>
      <c r="E4" s="1"/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92</v>
      </c>
      <c r="L4" s="2" t="s">
        <v>93</v>
      </c>
      <c r="M4" s="2" t="s">
        <v>94</v>
      </c>
      <c r="N4" s="2" t="s">
        <v>95</v>
      </c>
      <c r="O4" s="2" t="s">
        <v>96</v>
      </c>
      <c r="P4" s="2" t="s">
        <v>97</v>
      </c>
      <c r="Q4" s="2" t="s">
        <v>98</v>
      </c>
      <c r="R4" s="2" t="s">
        <v>99</v>
      </c>
      <c r="S4" s="2" t="s">
        <v>100</v>
      </c>
      <c r="T4" s="2" t="s">
        <v>101</v>
      </c>
      <c r="U4" s="2" t="s">
        <v>102</v>
      </c>
      <c r="V4" s="2" t="s">
        <v>103</v>
      </c>
      <c r="W4" s="2" t="s">
        <v>104</v>
      </c>
      <c r="X4" s="2" t="s">
        <v>105</v>
      </c>
      <c r="Y4" s="2" t="s">
        <v>106</v>
      </c>
      <c r="Z4" s="2" t="s">
        <v>107</v>
      </c>
      <c r="AA4" s="2" t="s">
        <v>108</v>
      </c>
      <c r="AB4" s="2" t="s">
        <v>109</v>
      </c>
      <c r="AC4" s="2" t="s">
        <v>110</v>
      </c>
      <c r="AD4" s="2" t="s">
        <v>111</v>
      </c>
      <c r="AE4" s="2" t="s">
        <v>112</v>
      </c>
      <c r="AF4" s="2" t="s">
        <v>113</v>
      </c>
      <c r="AG4" s="2" t="s">
        <v>114</v>
      </c>
      <c r="AH4" s="2" t="s">
        <v>115</v>
      </c>
      <c r="AI4" s="2" t="s">
        <v>116</v>
      </c>
      <c r="AJ4" s="2" t="s">
        <v>117</v>
      </c>
      <c r="AK4" s="2" t="s">
        <v>118</v>
      </c>
      <c r="AL4" s="2" t="s">
        <v>119</v>
      </c>
      <c r="AM4" s="2" t="s">
        <v>120</v>
      </c>
      <c r="AN4" s="2" t="s">
        <v>121</v>
      </c>
      <c r="AO4" s="2" t="s">
        <v>122</v>
      </c>
      <c r="AP4" s="2" t="s">
        <v>123</v>
      </c>
      <c r="AQ4" s="2" t="s">
        <v>124</v>
      </c>
      <c r="AR4" s="2" t="s">
        <v>125</v>
      </c>
      <c r="AS4" s="2" t="s">
        <v>126</v>
      </c>
      <c r="AT4" s="2" t="s">
        <v>127</v>
      </c>
      <c r="AU4" s="2" t="s">
        <v>128</v>
      </c>
      <c r="AV4" s="2" t="s">
        <v>129</v>
      </c>
      <c r="AW4" s="2" t="s">
        <v>130</v>
      </c>
      <c r="AX4" s="2" t="s">
        <v>131</v>
      </c>
      <c r="AY4" s="2" t="s">
        <v>132</v>
      </c>
      <c r="AZ4" s="2" t="s">
        <v>133</v>
      </c>
      <c r="BA4" s="2" t="s">
        <v>134</v>
      </c>
      <c r="BB4" s="2" t="s">
        <v>135</v>
      </c>
      <c r="BC4" s="2" t="s">
        <v>136</v>
      </c>
      <c r="BD4" s="2" t="s">
        <v>137</v>
      </c>
      <c r="BE4" s="2" t="s">
        <v>138</v>
      </c>
    </row>
    <row r="5" spans="1:57" ht="28.05" customHeight="1" x14ac:dyDescent="0.3">
      <c r="A5" s="34" t="s">
        <v>139</v>
      </c>
      <c r="B5" s="34"/>
      <c r="C5" s="34"/>
      <c r="D5" s="34"/>
      <c r="E5" s="3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 ht="25.05" customHeight="1" x14ac:dyDescent="0.3">
      <c r="A6" s="35" t="s">
        <v>140</v>
      </c>
      <c r="B6" s="35"/>
      <c r="C6" s="35"/>
      <c r="D6" s="36" t="s">
        <v>141</v>
      </c>
      <c r="E6" s="3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 ht="22.05" customHeight="1" x14ac:dyDescent="0.3">
      <c r="A7" s="5">
        <v>1</v>
      </c>
      <c r="B7" s="5" t="s">
        <v>142</v>
      </c>
      <c r="C7" s="6" t="s">
        <v>143</v>
      </c>
      <c r="D7" s="6" t="s">
        <v>144</v>
      </c>
      <c r="E7" s="5" t="s">
        <v>145</v>
      </c>
      <c r="F7" s="7" t="s">
        <v>146</v>
      </c>
      <c r="G7" s="7" t="s">
        <v>146</v>
      </c>
      <c r="H7" s="7" t="s">
        <v>146</v>
      </c>
      <c r="I7" s="7" t="s">
        <v>146</v>
      </c>
      <c r="J7" s="7" t="s">
        <v>146</v>
      </c>
      <c r="K7" s="7" t="s">
        <v>146</v>
      </c>
      <c r="L7" s="7" t="s">
        <v>146</v>
      </c>
      <c r="M7" s="7" t="s">
        <v>146</v>
      </c>
      <c r="N7" s="7" t="s">
        <v>146</v>
      </c>
      <c r="O7" s="7" t="s">
        <v>146</v>
      </c>
      <c r="P7" s="7" t="s">
        <v>146</v>
      </c>
      <c r="Q7" s="7" t="s">
        <v>146</v>
      </c>
      <c r="R7" s="7" t="s">
        <v>146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</row>
    <row r="8" spans="1:57" ht="22.05" customHeight="1" x14ac:dyDescent="0.3">
      <c r="A8" s="9">
        <v>2</v>
      </c>
      <c r="B8" s="9" t="s">
        <v>147</v>
      </c>
      <c r="C8" s="10" t="s">
        <v>148</v>
      </c>
      <c r="D8" s="10" t="s">
        <v>149</v>
      </c>
      <c r="E8" s="9" t="s">
        <v>150</v>
      </c>
      <c r="F8" s="11"/>
      <c r="G8" s="11"/>
      <c r="H8" s="11"/>
      <c r="I8" s="11"/>
      <c r="J8" s="7" t="s">
        <v>146</v>
      </c>
      <c r="K8" s="7" t="s">
        <v>146</v>
      </c>
      <c r="L8" s="7" t="s">
        <v>146</v>
      </c>
      <c r="M8" s="7" t="s">
        <v>146</v>
      </c>
      <c r="N8" s="7" t="s">
        <v>146</v>
      </c>
      <c r="O8" s="7" t="s">
        <v>146</v>
      </c>
      <c r="P8" s="7" t="s">
        <v>146</v>
      </c>
      <c r="Q8" s="7" t="s">
        <v>146</v>
      </c>
      <c r="R8" s="7" t="s">
        <v>146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</row>
    <row r="9" spans="1:57" ht="22.05" customHeight="1" x14ac:dyDescent="0.3">
      <c r="A9" s="5">
        <v>3</v>
      </c>
      <c r="B9" s="5" t="s">
        <v>151</v>
      </c>
      <c r="C9" s="6" t="s">
        <v>152</v>
      </c>
      <c r="D9" s="6" t="s">
        <v>153</v>
      </c>
      <c r="E9" s="5" t="s">
        <v>150</v>
      </c>
      <c r="F9" s="8"/>
      <c r="G9" s="8"/>
      <c r="H9" s="8"/>
      <c r="I9" s="8"/>
      <c r="J9" s="7" t="s">
        <v>146</v>
      </c>
      <c r="K9" s="7" t="s">
        <v>146</v>
      </c>
      <c r="L9" s="7" t="s">
        <v>146</v>
      </c>
      <c r="M9" s="7" t="s">
        <v>146</v>
      </c>
      <c r="N9" s="7" t="s">
        <v>146</v>
      </c>
      <c r="O9" s="7" t="s">
        <v>146</v>
      </c>
      <c r="P9" s="7" t="s">
        <v>146</v>
      </c>
      <c r="Q9" s="7" t="s">
        <v>146</v>
      </c>
      <c r="R9" s="7" t="s">
        <v>146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</row>
    <row r="10" spans="1:57" ht="22.05" customHeight="1" x14ac:dyDescent="0.3">
      <c r="A10" s="9">
        <v>4</v>
      </c>
      <c r="B10" s="9" t="s">
        <v>154</v>
      </c>
      <c r="C10" s="10" t="s">
        <v>155</v>
      </c>
      <c r="D10" s="10" t="s">
        <v>156</v>
      </c>
      <c r="E10" s="9" t="s">
        <v>145</v>
      </c>
      <c r="F10" s="11"/>
      <c r="G10" s="11"/>
      <c r="H10" s="11"/>
      <c r="I10" s="11"/>
      <c r="J10" s="11"/>
      <c r="K10" s="11"/>
      <c r="L10" s="11"/>
      <c r="M10" s="11"/>
      <c r="N10" s="7" t="s">
        <v>146</v>
      </c>
      <c r="O10" s="7" t="s">
        <v>146</v>
      </c>
      <c r="P10" s="7" t="s">
        <v>146</v>
      </c>
      <c r="Q10" s="7" t="s">
        <v>146</v>
      </c>
      <c r="R10" s="7" t="s">
        <v>146</v>
      </c>
      <c r="S10" s="7" t="s">
        <v>146</v>
      </c>
      <c r="T10" s="7" t="s">
        <v>146</v>
      </c>
      <c r="U10" s="7" t="s">
        <v>146</v>
      </c>
      <c r="V10" s="7" t="s">
        <v>146</v>
      </c>
      <c r="W10" s="7" t="s">
        <v>146</v>
      </c>
      <c r="X10" s="7" t="s">
        <v>146</v>
      </c>
      <c r="Y10" s="7" t="s">
        <v>146</v>
      </c>
      <c r="Z10" s="7" t="s">
        <v>146</v>
      </c>
      <c r="AA10" s="7" t="s">
        <v>146</v>
      </c>
      <c r="AB10" s="7" t="s">
        <v>146</v>
      </c>
      <c r="AC10" s="7" t="s">
        <v>146</v>
      </c>
      <c r="AD10" s="7" t="s">
        <v>146</v>
      </c>
      <c r="AE10" s="7" t="s">
        <v>146</v>
      </c>
      <c r="AF10" s="7" t="s">
        <v>146</v>
      </c>
      <c r="AG10" s="7" t="s">
        <v>146</v>
      </c>
      <c r="AH10" s="7" t="s">
        <v>146</v>
      </c>
      <c r="AI10" s="7" t="s">
        <v>146</v>
      </c>
      <c r="AJ10" s="7" t="s">
        <v>146</v>
      </c>
      <c r="AK10" s="7" t="s">
        <v>146</v>
      </c>
      <c r="AL10" s="7" t="s">
        <v>146</v>
      </c>
      <c r="AM10" s="7" t="s">
        <v>146</v>
      </c>
      <c r="AN10" s="7" t="s">
        <v>146</v>
      </c>
      <c r="AO10" s="7" t="s">
        <v>146</v>
      </c>
      <c r="AP10" s="7" t="s">
        <v>146</v>
      </c>
      <c r="AQ10" s="7" t="s">
        <v>146</v>
      </c>
      <c r="AR10" s="7" t="s">
        <v>146</v>
      </c>
      <c r="AS10" s="7" t="s">
        <v>146</v>
      </c>
      <c r="AT10" s="7" t="s">
        <v>146</v>
      </c>
      <c r="AU10" s="7" t="s">
        <v>146</v>
      </c>
      <c r="AV10" s="7" t="s">
        <v>146</v>
      </c>
      <c r="AW10" s="7" t="s">
        <v>146</v>
      </c>
      <c r="AX10" s="7" t="s">
        <v>146</v>
      </c>
      <c r="AY10" s="7" t="s">
        <v>146</v>
      </c>
      <c r="AZ10" s="7" t="s">
        <v>146</v>
      </c>
      <c r="BA10" s="7" t="s">
        <v>146</v>
      </c>
      <c r="BB10" s="7" t="s">
        <v>146</v>
      </c>
      <c r="BC10" s="7" t="s">
        <v>146</v>
      </c>
      <c r="BD10" s="7" t="s">
        <v>146</v>
      </c>
      <c r="BE10" s="7" t="s">
        <v>146</v>
      </c>
    </row>
    <row r="11" spans="1:57" ht="25.05" customHeight="1" x14ac:dyDescent="0.3">
      <c r="A11" s="35" t="s">
        <v>157</v>
      </c>
      <c r="B11" s="35"/>
      <c r="C11" s="35"/>
      <c r="D11" s="36" t="s">
        <v>158</v>
      </c>
      <c r="E11" s="3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 spans="1:57" ht="22.05" customHeight="1" x14ac:dyDescent="0.3">
      <c r="A12" s="5">
        <v>5</v>
      </c>
      <c r="B12" s="5" t="s">
        <v>142</v>
      </c>
      <c r="C12" s="6" t="s">
        <v>159</v>
      </c>
      <c r="D12" s="6" t="s">
        <v>160</v>
      </c>
      <c r="E12" s="5" t="s">
        <v>150</v>
      </c>
      <c r="F12" s="8"/>
      <c r="G12" s="8"/>
      <c r="H12" s="8"/>
      <c r="I12" s="8"/>
      <c r="J12" s="7" t="s">
        <v>146</v>
      </c>
      <c r="K12" s="7" t="s">
        <v>146</v>
      </c>
      <c r="L12" s="7" t="s">
        <v>146</v>
      </c>
      <c r="M12" s="7" t="s">
        <v>146</v>
      </c>
      <c r="N12" s="7" t="s">
        <v>146</v>
      </c>
      <c r="O12" s="7" t="s">
        <v>146</v>
      </c>
      <c r="P12" s="7" t="s">
        <v>146</v>
      </c>
      <c r="Q12" s="7" t="s">
        <v>146</v>
      </c>
      <c r="R12" s="7" t="s">
        <v>146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</row>
    <row r="13" spans="1:57" ht="22.05" customHeight="1" x14ac:dyDescent="0.3">
      <c r="A13" s="9">
        <v>6</v>
      </c>
      <c r="B13" s="9" t="s">
        <v>147</v>
      </c>
      <c r="C13" s="10" t="s">
        <v>161</v>
      </c>
      <c r="D13" s="10" t="s">
        <v>162</v>
      </c>
      <c r="E13" s="9" t="s">
        <v>150</v>
      </c>
      <c r="F13" s="11"/>
      <c r="G13" s="11"/>
      <c r="H13" s="11"/>
      <c r="I13" s="11"/>
      <c r="J13" s="7" t="s">
        <v>146</v>
      </c>
      <c r="K13" s="7" t="s">
        <v>146</v>
      </c>
      <c r="L13" s="7" t="s">
        <v>146</v>
      </c>
      <c r="M13" s="7" t="s">
        <v>146</v>
      </c>
      <c r="N13" s="7" t="s">
        <v>146</v>
      </c>
      <c r="O13" s="7" t="s">
        <v>146</v>
      </c>
      <c r="P13" s="7" t="s">
        <v>146</v>
      </c>
      <c r="Q13" s="7" t="s">
        <v>146</v>
      </c>
      <c r="R13" s="7" t="s">
        <v>146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</row>
    <row r="14" spans="1:57" ht="22.05" customHeight="1" x14ac:dyDescent="0.3">
      <c r="A14" s="5">
        <v>7</v>
      </c>
      <c r="B14" s="5" t="s">
        <v>151</v>
      </c>
      <c r="C14" s="6" t="s">
        <v>163</v>
      </c>
      <c r="D14" s="6" t="s">
        <v>164</v>
      </c>
      <c r="E14" s="5" t="s">
        <v>145</v>
      </c>
      <c r="F14" s="8"/>
      <c r="G14" s="8"/>
      <c r="H14" s="8"/>
      <c r="I14" s="8"/>
      <c r="J14" s="7" t="s">
        <v>146</v>
      </c>
      <c r="K14" s="7" t="s">
        <v>146</v>
      </c>
      <c r="L14" s="7" t="s">
        <v>146</v>
      </c>
      <c r="M14" s="7" t="s">
        <v>146</v>
      </c>
      <c r="N14" s="7" t="s">
        <v>146</v>
      </c>
      <c r="O14" s="7" t="s">
        <v>146</v>
      </c>
      <c r="P14" s="7" t="s">
        <v>146</v>
      </c>
      <c r="Q14" s="7" t="s">
        <v>146</v>
      </c>
      <c r="R14" s="7" t="s">
        <v>146</v>
      </c>
      <c r="S14" s="7" t="s">
        <v>146</v>
      </c>
      <c r="T14" s="7" t="s">
        <v>146</v>
      </c>
      <c r="U14" s="7" t="s">
        <v>146</v>
      </c>
      <c r="V14" s="7" t="s">
        <v>146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</row>
    <row r="15" spans="1:57" ht="22.05" customHeight="1" x14ac:dyDescent="0.3">
      <c r="A15" s="9">
        <v>8</v>
      </c>
      <c r="B15" s="9" t="s">
        <v>154</v>
      </c>
      <c r="C15" s="10" t="s">
        <v>165</v>
      </c>
      <c r="D15" s="10" t="s">
        <v>166</v>
      </c>
      <c r="E15" s="9" t="s">
        <v>145</v>
      </c>
      <c r="F15" s="7" t="s">
        <v>146</v>
      </c>
      <c r="G15" s="7" t="s">
        <v>146</v>
      </c>
      <c r="H15" s="7" t="s">
        <v>146</v>
      </c>
      <c r="I15" s="7" t="s">
        <v>146</v>
      </c>
      <c r="J15" s="7" t="s">
        <v>146</v>
      </c>
      <c r="K15" s="7" t="s">
        <v>146</v>
      </c>
      <c r="L15" s="7" t="s">
        <v>146</v>
      </c>
      <c r="M15" s="7" t="s">
        <v>146</v>
      </c>
      <c r="N15" s="7" t="s">
        <v>146</v>
      </c>
      <c r="O15" s="7" t="s">
        <v>146</v>
      </c>
      <c r="P15" s="7" t="s">
        <v>146</v>
      </c>
      <c r="Q15" s="7" t="s">
        <v>146</v>
      </c>
      <c r="R15" s="7" t="s">
        <v>146</v>
      </c>
      <c r="S15" s="7" t="s">
        <v>146</v>
      </c>
      <c r="T15" s="7" t="s">
        <v>146</v>
      </c>
      <c r="U15" s="7" t="s">
        <v>146</v>
      </c>
      <c r="V15" s="7" t="s">
        <v>146</v>
      </c>
      <c r="W15" s="7" t="s">
        <v>146</v>
      </c>
      <c r="X15" s="7" t="s">
        <v>146</v>
      </c>
      <c r="Y15" s="7" t="s">
        <v>146</v>
      </c>
      <c r="Z15" s="7" t="s">
        <v>146</v>
      </c>
      <c r="AA15" s="7" t="s">
        <v>146</v>
      </c>
      <c r="AB15" s="7" t="s">
        <v>146</v>
      </c>
      <c r="AC15" s="7" t="s">
        <v>146</v>
      </c>
      <c r="AD15" s="7" t="s">
        <v>146</v>
      </c>
      <c r="AE15" s="7" t="s">
        <v>146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</row>
    <row r="16" spans="1:57" ht="22.05" customHeight="1" x14ac:dyDescent="0.3">
      <c r="A16" s="5">
        <v>9</v>
      </c>
      <c r="B16" s="5" t="s">
        <v>167</v>
      </c>
      <c r="C16" s="6" t="s">
        <v>168</v>
      </c>
      <c r="D16" s="6" t="s">
        <v>169</v>
      </c>
      <c r="E16" s="5" t="s">
        <v>145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7" t="s">
        <v>146</v>
      </c>
      <c r="AB16" s="7" t="s">
        <v>146</v>
      </c>
      <c r="AC16" s="7" t="s">
        <v>146</v>
      </c>
      <c r="AD16" s="7" t="s">
        <v>146</v>
      </c>
      <c r="AE16" s="7" t="s">
        <v>146</v>
      </c>
      <c r="AF16" s="7" t="s">
        <v>146</v>
      </c>
      <c r="AG16" s="7" t="s">
        <v>146</v>
      </c>
      <c r="AH16" s="7" t="s">
        <v>146</v>
      </c>
      <c r="AI16" s="7" t="s">
        <v>146</v>
      </c>
      <c r="AJ16" s="7" t="s">
        <v>146</v>
      </c>
      <c r="AK16" s="7" t="s">
        <v>146</v>
      </c>
      <c r="AL16" s="7" t="s">
        <v>146</v>
      </c>
      <c r="AM16" s="7" t="s">
        <v>146</v>
      </c>
      <c r="AN16" s="7" t="s">
        <v>146</v>
      </c>
      <c r="AO16" s="7" t="s">
        <v>146</v>
      </c>
      <c r="AP16" s="7" t="s">
        <v>146</v>
      </c>
      <c r="AQ16" s="7" t="s">
        <v>146</v>
      </c>
      <c r="AR16" s="7" t="s">
        <v>146</v>
      </c>
      <c r="AS16" s="7" t="s">
        <v>146</v>
      </c>
      <c r="AT16" s="7" t="s">
        <v>146</v>
      </c>
      <c r="AU16" s="7" t="s">
        <v>146</v>
      </c>
      <c r="AV16" s="7" t="s">
        <v>146</v>
      </c>
      <c r="AW16" s="7" t="s">
        <v>146</v>
      </c>
      <c r="AX16" s="7" t="s">
        <v>146</v>
      </c>
      <c r="AY16" s="7" t="s">
        <v>146</v>
      </c>
      <c r="AZ16" s="7" t="s">
        <v>146</v>
      </c>
      <c r="BA16" s="7" t="s">
        <v>146</v>
      </c>
      <c r="BB16" s="7" t="s">
        <v>146</v>
      </c>
      <c r="BC16" s="7" t="s">
        <v>146</v>
      </c>
      <c r="BD16" s="7" t="s">
        <v>146</v>
      </c>
      <c r="BE16" s="7" t="s">
        <v>146</v>
      </c>
    </row>
    <row r="17" spans="1:57" ht="25.05" customHeight="1" x14ac:dyDescent="0.3">
      <c r="A17" s="35" t="s">
        <v>170</v>
      </c>
      <c r="B17" s="35"/>
      <c r="C17" s="35"/>
      <c r="D17" s="36" t="s">
        <v>171</v>
      </c>
      <c r="E17" s="3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</row>
    <row r="18" spans="1:57" ht="22.05" customHeight="1" x14ac:dyDescent="0.3">
      <c r="A18" s="9">
        <v>10</v>
      </c>
      <c r="B18" s="9" t="s">
        <v>142</v>
      </c>
      <c r="C18" s="10" t="s">
        <v>172</v>
      </c>
      <c r="D18" s="10" t="s">
        <v>173</v>
      </c>
      <c r="E18" s="9" t="s">
        <v>150</v>
      </c>
      <c r="F18" s="11"/>
      <c r="G18" s="11"/>
      <c r="H18" s="11"/>
      <c r="I18" s="11"/>
      <c r="J18" s="7" t="s">
        <v>146</v>
      </c>
      <c r="K18" s="7" t="s">
        <v>146</v>
      </c>
      <c r="L18" s="7" t="s">
        <v>146</v>
      </c>
      <c r="M18" s="7" t="s">
        <v>146</v>
      </c>
      <c r="N18" s="7" t="s">
        <v>146</v>
      </c>
      <c r="O18" s="7" t="s">
        <v>146</v>
      </c>
      <c r="P18" s="7" t="s">
        <v>146</v>
      </c>
      <c r="Q18" s="7" t="s">
        <v>146</v>
      </c>
      <c r="R18" s="7" t="s">
        <v>146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</row>
    <row r="19" spans="1:57" ht="22.05" customHeight="1" x14ac:dyDescent="0.3">
      <c r="A19" s="5">
        <v>11</v>
      </c>
      <c r="B19" s="5" t="s">
        <v>147</v>
      </c>
      <c r="C19" s="6" t="s">
        <v>174</v>
      </c>
      <c r="D19" s="6" t="s">
        <v>175</v>
      </c>
      <c r="E19" s="5" t="s">
        <v>176</v>
      </c>
      <c r="F19" s="8"/>
      <c r="G19" s="8"/>
      <c r="H19" s="8"/>
      <c r="I19" s="8"/>
      <c r="J19" s="7" t="s">
        <v>146</v>
      </c>
      <c r="K19" s="7" t="s">
        <v>146</v>
      </c>
      <c r="L19" s="7" t="s">
        <v>146</v>
      </c>
      <c r="M19" s="7" t="s">
        <v>146</v>
      </c>
      <c r="N19" s="7" t="s">
        <v>146</v>
      </c>
      <c r="O19" s="7" t="s">
        <v>146</v>
      </c>
      <c r="P19" s="7" t="s">
        <v>146</v>
      </c>
      <c r="Q19" s="7" t="s">
        <v>146</v>
      </c>
      <c r="R19" s="7" t="s">
        <v>146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</row>
    <row r="20" spans="1:57" ht="22.05" customHeight="1" x14ac:dyDescent="0.3">
      <c r="A20" s="9">
        <v>12</v>
      </c>
      <c r="B20" s="9" t="s">
        <v>151</v>
      </c>
      <c r="C20" s="10" t="s">
        <v>177</v>
      </c>
      <c r="D20" s="10" t="s">
        <v>178</v>
      </c>
      <c r="E20" s="9" t="s">
        <v>145</v>
      </c>
      <c r="F20" s="11"/>
      <c r="G20" s="11"/>
      <c r="H20" s="11"/>
      <c r="I20" s="11"/>
      <c r="J20" s="11"/>
      <c r="K20" s="11"/>
      <c r="L20" s="11"/>
      <c r="M20" s="11"/>
      <c r="N20" s="7" t="s">
        <v>146</v>
      </c>
      <c r="O20" s="7" t="s">
        <v>146</v>
      </c>
      <c r="P20" s="7" t="s">
        <v>146</v>
      </c>
      <c r="Q20" s="7" t="s">
        <v>146</v>
      </c>
      <c r="R20" s="7" t="s">
        <v>146</v>
      </c>
      <c r="S20" s="7" t="s">
        <v>146</v>
      </c>
      <c r="T20" s="7" t="s">
        <v>146</v>
      </c>
      <c r="U20" s="7" t="s">
        <v>146</v>
      </c>
      <c r="V20" s="7" t="s">
        <v>146</v>
      </c>
      <c r="W20" s="7" t="s">
        <v>146</v>
      </c>
      <c r="X20" s="7" t="s">
        <v>146</v>
      </c>
      <c r="Y20" s="7" t="s">
        <v>146</v>
      </c>
      <c r="Z20" s="7" t="s">
        <v>146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</row>
    <row r="21" spans="1:57" ht="22.05" customHeight="1" x14ac:dyDescent="0.3">
      <c r="A21" s="5">
        <v>13</v>
      </c>
      <c r="B21" s="5" t="s">
        <v>154</v>
      </c>
      <c r="C21" s="6" t="s">
        <v>179</v>
      </c>
      <c r="D21" s="6" t="s">
        <v>178</v>
      </c>
      <c r="E21" s="5" t="s">
        <v>145</v>
      </c>
      <c r="F21" s="8"/>
      <c r="G21" s="8"/>
      <c r="H21" s="8"/>
      <c r="I21" s="8"/>
      <c r="J21" s="8"/>
      <c r="K21" s="8"/>
      <c r="L21" s="8"/>
      <c r="M21" s="8"/>
      <c r="N21" s="7" t="s">
        <v>146</v>
      </c>
      <c r="O21" s="7" t="s">
        <v>146</v>
      </c>
      <c r="P21" s="7" t="s">
        <v>146</v>
      </c>
      <c r="Q21" s="7" t="s">
        <v>146</v>
      </c>
      <c r="R21" s="7" t="s">
        <v>146</v>
      </c>
      <c r="S21" s="7" t="s">
        <v>146</v>
      </c>
      <c r="T21" s="7" t="s">
        <v>146</v>
      </c>
      <c r="U21" s="7" t="s">
        <v>146</v>
      </c>
      <c r="V21" s="7" t="s">
        <v>146</v>
      </c>
      <c r="W21" s="7" t="s">
        <v>146</v>
      </c>
      <c r="X21" s="7" t="s">
        <v>146</v>
      </c>
      <c r="Y21" s="7" t="s">
        <v>146</v>
      </c>
      <c r="Z21" s="7" t="s">
        <v>146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</row>
    <row r="22" spans="1:57" ht="22.05" customHeight="1" x14ac:dyDescent="0.3">
      <c r="A22" s="9">
        <v>14</v>
      </c>
      <c r="B22" s="9" t="s">
        <v>167</v>
      </c>
      <c r="C22" s="10" t="s">
        <v>180</v>
      </c>
      <c r="D22" s="10" t="s">
        <v>181</v>
      </c>
      <c r="E22" s="9" t="s">
        <v>145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7" t="s">
        <v>146</v>
      </c>
      <c r="T22" s="7" t="s">
        <v>146</v>
      </c>
      <c r="U22" s="7" t="s">
        <v>146</v>
      </c>
      <c r="V22" s="7" t="s">
        <v>146</v>
      </c>
      <c r="W22" s="7" t="s">
        <v>146</v>
      </c>
      <c r="X22" s="7" t="s">
        <v>146</v>
      </c>
      <c r="Y22" s="7" t="s">
        <v>146</v>
      </c>
      <c r="Z22" s="7" t="s">
        <v>146</v>
      </c>
      <c r="AA22" s="7" t="s">
        <v>146</v>
      </c>
      <c r="AB22" s="7" t="s">
        <v>146</v>
      </c>
      <c r="AC22" s="7" t="s">
        <v>146</v>
      </c>
      <c r="AD22" s="7" t="s">
        <v>146</v>
      </c>
      <c r="AE22" s="7" t="s">
        <v>146</v>
      </c>
      <c r="AF22" s="7" t="s">
        <v>146</v>
      </c>
      <c r="AG22" s="7" t="s">
        <v>146</v>
      </c>
      <c r="AH22" s="7" t="s">
        <v>146</v>
      </c>
      <c r="AI22" s="7" t="s">
        <v>146</v>
      </c>
      <c r="AJ22" s="7" t="s">
        <v>146</v>
      </c>
      <c r="AK22" s="7" t="s">
        <v>146</v>
      </c>
      <c r="AL22" s="7" t="s">
        <v>146</v>
      </c>
      <c r="AM22" s="7" t="s">
        <v>146</v>
      </c>
      <c r="AN22" s="7" t="s">
        <v>146</v>
      </c>
      <c r="AO22" s="7" t="s">
        <v>146</v>
      </c>
      <c r="AP22" s="7" t="s">
        <v>146</v>
      </c>
      <c r="AQ22" s="7" t="s">
        <v>146</v>
      </c>
      <c r="AR22" s="7" t="s">
        <v>146</v>
      </c>
      <c r="AS22" s="7" t="s">
        <v>146</v>
      </c>
      <c r="AT22" s="7" t="s">
        <v>146</v>
      </c>
      <c r="AU22" s="7" t="s">
        <v>146</v>
      </c>
      <c r="AV22" s="7" t="s">
        <v>146</v>
      </c>
      <c r="AW22" s="7" t="s">
        <v>146</v>
      </c>
      <c r="AX22" s="7" t="s">
        <v>146</v>
      </c>
      <c r="AY22" s="7" t="s">
        <v>146</v>
      </c>
      <c r="AZ22" s="7" t="s">
        <v>146</v>
      </c>
      <c r="BA22" s="7" t="s">
        <v>146</v>
      </c>
      <c r="BB22" s="7" t="s">
        <v>146</v>
      </c>
      <c r="BC22" s="7" t="s">
        <v>146</v>
      </c>
      <c r="BD22" s="7" t="s">
        <v>146</v>
      </c>
      <c r="BE22" s="7" t="s">
        <v>146</v>
      </c>
    </row>
    <row r="23" spans="1:57" ht="25.05" customHeight="1" x14ac:dyDescent="0.3">
      <c r="A23" s="35" t="s">
        <v>182</v>
      </c>
      <c r="B23" s="35"/>
      <c r="C23" s="35"/>
      <c r="D23" s="36" t="s">
        <v>183</v>
      </c>
      <c r="E23" s="3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1:57" ht="22.05" customHeight="1" x14ac:dyDescent="0.3">
      <c r="A24" s="5">
        <v>15</v>
      </c>
      <c r="B24" s="5" t="s">
        <v>142</v>
      </c>
      <c r="C24" s="6" t="s">
        <v>184</v>
      </c>
      <c r="D24" s="6" t="s">
        <v>185</v>
      </c>
      <c r="E24" s="5" t="s">
        <v>145</v>
      </c>
      <c r="F24" s="8"/>
      <c r="G24" s="8"/>
      <c r="H24" s="8"/>
      <c r="I24" s="8"/>
      <c r="J24" s="8"/>
      <c r="K24" s="8"/>
      <c r="L24" s="8"/>
      <c r="M24" s="8"/>
      <c r="N24" s="7" t="s">
        <v>146</v>
      </c>
      <c r="O24" s="7" t="s">
        <v>146</v>
      </c>
      <c r="P24" s="7" t="s">
        <v>146</v>
      </c>
      <c r="Q24" s="7" t="s">
        <v>146</v>
      </c>
      <c r="R24" s="7" t="s">
        <v>146</v>
      </c>
      <c r="S24" s="7" t="s">
        <v>146</v>
      </c>
      <c r="T24" s="7" t="s">
        <v>146</v>
      </c>
      <c r="U24" s="7" t="s">
        <v>146</v>
      </c>
      <c r="V24" s="7" t="s">
        <v>146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</row>
    <row r="25" spans="1:57" ht="22.05" customHeight="1" x14ac:dyDescent="0.3">
      <c r="A25" s="9">
        <v>16</v>
      </c>
      <c r="B25" s="9" t="s">
        <v>147</v>
      </c>
      <c r="C25" s="10" t="s">
        <v>186</v>
      </c>
      <c r="D25" s="10" t="s">
        <v>187</v>
      </c>
      <c r="E25" s="9" t="s">
        <v>150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7" t="s">
        <v>146</v>
      </c>
      <c r="T25" s="7" t="s">
        <v>146</v>
      </c>
      <c r="U25" s="7" t="s">
        <v>146</v>
      </c>
      <c r="V25" s="7" t="s">
        <v>146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</row>
    <row r="26" spans="1:57" ht="22.05" customHeight="1" x14ac:dyDescent="0.3">
      <c r="A26" s="5">
        <v>17</v>
      </c>
      <c r="B26" s="5" t="s">
        <v>151</v>
      </c>
      <c r="C26" s="6" t="s">
        <v>188</v>
      </c>
      <c r="D26" s="6" t="s">
        <v>189</v>
      </c>
      <c r="E26" s="5" t="s">
        <v>190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7" t="s">
        <v>146</v>
      </c>
      <c r="T26" s="7" t="s">
        <v>146</v>
      </c>
      <c r="U26" s="7" t="s">
        <v>146</v>
      </c>
      <c r="V26" s="7" t="s">
        <v>146</v>
      </c>
      <c r="W26" s="7" t="s">
        <v>146</v>
      </c>
      <c r="X26" s="7" t="s">
        <v>146</v>
      </c>
      <c r="Y26" s="7" t="s">
        <v>146</v>
      </c>
      <c r="Z26" s="7" t="s">
        <v>146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1:57" ht="22.05" customHeight="1" x14ac:dyDescent="0.3">
      <c r="A27" s="9">
        <v>18</v>
      </c>
      <c r="B27" s="9" t="s">
        <v>154</v>
      </c>
      <c r="C27" s="10" t="s">
        <v>191</v>
      </c>
      <c r="D27" s="10" t="s">
        <v>192</v>
      </c>
      <c r="E27" s="9" t="s">
        <v>145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7" t="s">
        <v>146</v>
      </c>
      <c r="T27" s="7" t="s">
        <v>146</v>
      </c>
      <c r="U27" s="7" t="s">
        <v>146</v>
      </c>
      <c r="V27" s="7" t="s">
        <v>146</v>
      </c>
      <c r="W27" s="7" t="s">
        <v>146</v>
      </c>
      <c r="X27" s="7" t="s">
        <v>146</v>
      </c>
      <c r="Y27" s="7" t="s">
        <v>146</v>
      </c>
      <c r="Z27" s="7" t="s">
        <v>146</v>
      </c>
      <c r="AA27" s="7" t="s">
        <v>146</v>
      </c>
      <c r="AB27" s="7" t="s">
        <v>146</v>
      </c>
      <c r="AC27" s="7" t="s">
        <v>146</v>
      </c>
      <c r="AD27" s="7" t="s">
        <v>146</v>
      </c>
      <c r="AE27" s="7" t="s">
        <v>146</v>
      </c>
      <c r="AF27" s="7" t="s">
        <v>146</v>
      </c>
      <c r="AG27" s="7" t="s">
        <v>146</v>
      </c>
      <c r="AH27" s="7" t="s">
        <v>146</v>
      </c>
      <c r="AI27" s="7" t="s">
        <v>146</v>
      </c>
      <c r="AJ27" s="7" t="s">
        <v>146</v>
      </c>
      <c r="AK27" s="7" t="s">
        <v>146</v>
      </c>
      <c r="AL27" s="7" t="s">
        <v>146</v>
      </c>
      <c r="AM27" s="7" t="s">
        <v>146</v>
      </c>
      <c r="AN27" s="7" t="s">
        <v>146</v>
      </c>
      <c r="AO27" s="7" t="s">
        <v>146</v>
      </c>
      <c r="AP27" s="7" t="s">
        <v>146</v>
      </c>
      <c r="AQ27" s="7" t="s">
        <v>146</v>
      </c>
      <c r="AR27" s="7" t="s">
        <v>146</v>
      </c>
      <c r="AS27" s="7" t="s">
        <v>146</v>
      </c>
      <c r="AT27" s="7" t="s">
        <v>146</v>
      </c>
      <c r="AU27" s="7" t="s">
        <v>146</v>
      </c>
      <c r="AV27" s="7" t="s">
        <v>146</v>
      </c>
      <c r="AW27" s="7" t="s">
        <v>146</v>
      </c>
      <c r="AX27" s="7" t="s">
        <v>146</v>
      </c>
      <c r="AY27" s="7" t="s">
        <v>146</v>
      </c>
      <c r="AZ27" s="7" t="s">
        <v>146</v>
      </c>
      <c r="BA27" s="7" t="s">
        <v>146</v>
      </c>
      <c r="BB27" s="7" t="s">
        <v>146</v>
      </c>
      <c r="BC27" s="7" t="s">
        <v>146</v>
      </c>
      <c r="BD27" s="7" t="s">
        <v>146</v>
      </c>
      <c r="BE27" s="7" t="s">
        <v>146</v>
      </c>
    </row>
    <row r="28" spans="1:57" ht="28.05" customHeight="1" x14ac:dyDescent="0.3">
      <c r="A28" s="34" t="s">
        <v>193</v>
      </c>
      <c r="B28" s="34"/>
      <c r="C28" s="34"/>
      <c r="D28" s="34"/>
      <c r="E28" s="3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 ht="25.05" customHeight="1" x14ac:dyDescent="0.3">
      <c r="A29" s="35" t="s">
        <v>194</v>
      </c>
      <c r="B29" s="35"/>
      <c r="C29" s="35"/>
      <c r="D29" s="36" t="s">
        <v>195</v>
      </c>
      <c r="E29" s="3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spans="1:57" ht="22.05" customHeight="1" x14ac:dyDescent="0.3">
      <c r="A30" s="5">
        <v>19</v>
      </c>
      <c r="B30" s="5" t="s">
        <v>142</v>
      </c>
      <c r="C30" s="6" t="s">
        <v>196</v>
      </c>
      <c r="D30" s="6" t="s">
        <v>197</v>
      </c>
      <c r="E30" s="5" t="s">
        <v>198</v>
      </c>
      <c r="F30" s="8"/>
      <c r="G30" s="8"/>
      <c r="H30" s="8"/>
      <c r="I30" s="8"/>
      <c r="J30" s="8"/>
      <c r="K30" s="8"/>
      <c r="L30" s="8"/>
      <c r="M30" s="8"/>
      <c r="N30" s="7" t="s">
        <v>146</v>
      </c>
      <c r="O30" s="7" t="s">
        <v>146</v>
      </c>
      <c r="P30" s="7" t="s">
        <v>146</v>
      </c>
      <c r="Q30" s="7" t="s">
        <v>146</v>
      </c>
      <c r="R30" s="7" t="s">
        <v>146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</row>
    <row r="31" spans="1:57" ht="22.05" customHeight="1" x14ac:dyDescent="0.3">
      <c r="A31" s="9">
        <v>20</v>
      </c>
      <c r="B31" s="9" t="s">
        <v>147</v>
      </c>
      <c r="C31" s="10" t="s">
        <v>199</v>
      </c>
      <c r="D31" s="10" t="s">
        <v>200</v>
      </c>
      <c r="E31" s="9" t="s">
        <v>201</v>
      </c>
      <c r="F31" s="11"/>
      <c r="G31" s="11"/>
      <c r="H31" s="11"/>
      <c r="I31" s="11"/>
      <c r="J31" s="11"/>
      <c r="K31" s="11"/>
      <c r="L31" s="11"/>
      <c r="M31" s="11"/>
      <c r="N31" s="7" t="s">
        <v>146</v>
      </c>
      <c r="O31" s="7" t="s">
        <v>146</v>
      </c>
      <c r="P31" s="7" t="s">
        <v>146</v>
      </c>
      <c r="Q31" s="7" t="s">
        <v>146</v>
      </c>
      <c r="R31" s="7" t="s">
        <v>146</v>
      </c>
      <c r="S31" s="7" t="s">
        <v>146</v>
      </c>
      <c r="T31" s="7" t="s">
        <v>146</v>
      </c>
      <c r="U31" s="7" t="s">
        <v>146</v>
      </c>
      <c r="V31" s="7" t="s">
        <v>146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</row>
    <row r="32" spans="1:57" ht="22.05" customHeight="1" x14ac:dyDescent="0.3">
      <c r="A32" s="5">
        <v>21</v>
      </c>
      <c r="B32" s="5" t="s">
        <v>151</v>
      </c>
      <c r="C32" s="6" t="s">
        <v>202</v>
      </c>
      <c r="D32" s="6" t="s">
        <v>203</v>
      </c>
      <c r="E32" s="5" t="s">
        <v>145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7" t="s">
        <v>146</v>
      </c>
      <c r="T32" s="7" t="s">
        <v>146</v>
      </c>
      <c r="U32" s="7" t="s">
        <v>146</v>
      </c>
      <c r="V32" s="7" t="s">
        <v>146</v>
      </c>
      <c r="W32" s="7" t="s">
        <v>146</v>
      </c>
      <c r="X32" s="7" t="s">
        <v>146</v>
      </c>
      <c r="Y32" s="7" t="s">
        <v>146</v>
      </c>
      <c r="Z32" s="7" t="s">
        <v>146</v>
      </c>
      <c r="AA32" s="7" t="s">
        <v>146</v>
      </c>
      <c r="AB32" s="7" t="s">
        <v>146</v>
      </c>
      <c r="AC32" s="7" t="s">
        <v>146</v>
      </c>
      <c r="AD32" s="7" t="s">
        <v>146</v>
      </c>
      <c r="AE32" s="7" t="s">
        <v>146</v>
      </c>
      <c r="AF32" s="7" t="s">
        <v>146</v>
      </c>
      <c r="AG32" s="7" t="s">
        <v>146</v>
      </c>
      <c r="AH32" s="7" t="s">
        <v>146</v>
      </c>
      <c r="AI32" s="7" t="s">
        <v>146</v>
      </c>
      <c r="AJ32" s="7" t="s">
        <v>146</v>
      </c>
      <c r="AK32" s="7" t="s">
        <v>146</v>
      </c>
      <c r="AL32" s="7" t="s">
        <v>146</v>
      </c>
      <c r="AM32" s="7" t="s">
        <v>146</v>
      </c>
      <c r="AN32" s="7" t="s">
        <v>146</v>
      </c>
      <c r="AO32" s="7" t="s">
        <v>146</v>
      </c>
      <c r="AP32" s="7" t="s">
        <v>146</v>
      </c>
      <c r="AQ32" s="7" t="s">
        <v>146</v>
      </c>
      <c r="AR32" s="7" t="s">
        <v>146</v>
      </c>
      <c r="AS32" s="7" t="s">
        <v>146</v>
      </c>
      <c r="AT32" s="7" t="s">
        <v>146</v>
      </c>
      <c r="AU32" s="7" t="s">
        <v>146</v>
      </c>
      <c r="AV32" s="7" t="s">
        <v>146</v>
      </c>
      <c r="AW32" s="7" t="s">
        <v>146</v>
      </c>
      <c r="AX32" s="7" t="s">
        <v>146</v>
      </c>
      <c r="AY32" s="7" t="s">
        <v>146</v>
      </c>
      <c r="AZ32" s="7" t="s">
        <v>146</v>
      </c>
      <c r="BA32" s="7" t="s">
        <v>146</v>
      </c>
      <c r="BB32" s="7" t="s">
        <v>146</v>
      </c>
      <c r="BC32" s="7" t="s">
        <v>146</v>
      </c>
      <c r="BD32" s="7" t="s">
        <v>146</v>
      </c>
      <c r="BE32" s="7" t="s">
        <v>146</v>
      </c>
    </row>
    <row r="33" spans="1:57" ht="22.05" customHeight="1" x14ac:dyDescent="0.3">
      <c r="A33" s="9">
        <v>22</v>
      </c>
      <c r="B33" s="9" t="s">
        <v>154</v>
      </c>
      <c r="C33" s="10" t="s">
        <v>204</v>
      </c>
      <c r="D33" s="10" t="s">
        <v>205</v>
      </c>
      <c r="E33" s="9" t="s">
        <v>206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7" t="s">
        <v>146</v>
      </c>
      <c r="AB33" s="7" t="s">
        <v>146</v>
      </c>
      <c r="AC33" s="7" t="s">
        <v>146</v>
      </c>
      <c r="AD33" s="7" t="s">
        <v>146</v>
      </c>
      <c r="AE33" s="7" t="s">
        <v>146</v>
      </c>
      <c r="AF33" s="11"/>
      <c r="AG33" s="11"/>
      <c r="AH33" s="11"/>
      <c r="AI33" s="11"/>
      <c r="AJ33" s="11"/>
      <c r="AK33" s="11"/>
      <c r="AL33" s="11"/>
      <c r="AM33" s="11"/>
      <c r="AN33" s="11"/>
      <c r="AO33" s="7" t="s">
        <v>146</v>
      </c>
      <c r="AP33" s="7" t="s">
        <v>146</v>
      </c>
      <c r="AQ33" s="7" t="s">
        <v>146</v>
      </c>
      <c r="AR33" s="7" t="s">
        <v>146</v>
      </c>
      <c r="AS33" s="11"/>
      <c r="AT33" s="11"/>
      <c r="AU33" s="11"/>
      <c r="AV33" s="11"/>
      <c r="AW33" s="11"/>
      <c r="AX33" s="11"/>
      <c r="AY33" s="11"/>
      <c r="AZ33" s="11"/>
      <c r="BA33" s="11"/>
      <c r="BB33" s="7" t="s">
        <v>146</v>
      </c>
      <c r="BC33" s="7" t="s">
        <v>146</v>
      </c>
      <c r="BD33" s="7" t="s">
        <v>146</v>
      </c>
      <c r="BE33" s="7" t="s">
        <v>146</v>
      </c>
    </row>
    <row r="34" spans="1:57" ht="22.05" customHeight="1" x14ac:dyDescent="0.3">
      <c r="A34" s="5">
        <v>23</v>
      </c>
      <c r="B34" s="5" t="s">
        <v>167</v>
      </c>
      <c r="C34" s="6" t="s">
        <v>207</v>
      </c>
      <c r="D34" s="6" t="s">
        <v>208</v>
      </c>
      <c r="E34" s="5" t="s">
        <v>145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7" t="s">
        <v>146</v>
      </c>
      <c r="AB34" s="7" t="s">
        <v>146</v>
      </c>
      <c r="AC34" s="7" t="s">
        <v>146</v>
      </c>
      <c r="AD34" s="7" t="s">
        <v>146</v>
      </c>
      <c r="AE34" s="7" t="s">
        <v>146</v>
      </c>
      <c r="AF34" s="7" t="s">
        <v>146</v>
      </c>
      <c r="AG34" s="7" t="s">
        <v>146</v>
      </c>
      <c r="AH34" s="7" t="s">
        <v>146</v>
      </c>
      <c r="AI34" s="7" t="s">
        <v>146</v>
      </c>
      <c r="AJ34" s="7" t="s">
        <v>146</v>
      </c>
      <c r="AK34" s="7" t="s">
        <v>146</v>
      </c>
      <c r="AL34" s="7" t="s">
        <v>146</v>
      </c>
      <c r="AM34" s="7" t="s">
        <v>146</v>
      </c>
      <c r="AN34" s="7" t="s">
        <v>146</v>
      </c>
      <c r="AO34" s="7" t="s">
        <v>146</v>
      </c>
      <c r="AP34" s="7" t="s">
        <v>146</v>
      </c>
      <c r="AQ34" s="7" t="s">
        <v>146</v>
      </c>
      <c r="AR34" s="7" t="s">
        <v>146</v>
      </c>
      <c r="AS34" s="7" t="s">
        <v>146</v>
      </c>
      <c r="AT34" s="7" t="s">
        <v>146</v>
      </c>
      <c r="AU34" s="7" t="s">
        <v>146</v>
      </c>
      <c r="AV34" s="7" t="s">
        <v>146</v>
      </c>
      <c r="AW34" s="7" t="s">
        <v>146</v>
      </c>
      <c r="AX34" s="7" t="s">
        <v>146</v>
      </c>
      <c r="AY34" s="7" t="s">
        <v>146</v>
      </c>
      <c r="AZ34" s="7" t="s">
        <v>146</v>
      </c>
      <c r="BA34" s="7" t="s">
        <v>146</v>
      </c>
      <c r="BB34" s="7" t="s">
        <v>146</v>
      </c>
      <c r="BC34" s="7" t="s">
        <v>146</v>
      </c>
      <c r="BD34" s="7" t="s">
        <v>146</v>
      </c>
      <c r="BE34" s="7" t="s">
        <v>146</v>
      </c>
    </row>
    <row r="35" spans="1:57" ht="25.05" customHeight="1" x14ac:dyDescent="0.3">
      <c r="A35" s="35" t="s">
        <v>209</v>
      </c>
      <c r="B35" s="35"/>
      <c r="C35" s="35"/>
      <c r="D35" s="36" t="s">
        <v>210</v>
      </c>
      <c r="E35" s="3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spans="1:57" ht="22.05" customHeight="1" x14ac:dyDescent="0.3">
      <c r="A36" s="9">
        <v>24</v>
      </c>
      <c r="B36" s="9" t="s">
        <v>142</v>
      </c>
      <c r="C36" s="10" t="s">
        <v>211</v>
      </c>
      <c r="D36" s="10" t="s">
        <v>212</v>
      </c>
      <c r="E36" s="9" t="s">
        <v>213</v>
      </c>
      <c r="F36" s="11"/>
      <c r="G36" s="11"/>
      <c r="H36" s="11"/>
      <c r="I36" s="11"/>
      <c r="J36" s="7" t="s">
        <v>146</v>
      </c>
      <c r="K36" s="7" t="s">
        <v>146</v>
      </c>
      <c r="L36" s="7" t="s">
        <v>146</v>
      </c>
      <c r="M36" s="7" t="s">
        <v>146</v>
      </c>
      <c r="N36" s="7" t="s">
        <v>146</v>
      </c>
      <c r="O36" s="7" t="s">
        <v>146</v>
      </c>
      <c r="P36" s="7" t="s">
        <v>146</v>
      </c>
      <c r="Q36" s="7" t="s">
        <v>146</v>
      </c>
      <c r="R36" s="7" t="s">
        <v>146</v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</row>
    <row r="37" spans="1:57" ht="22.05" customHeight="1" x14ac:dyDescent="0.3">
      <c r="A37" s="5">
        <v>25</v>
      </c>
      <c r="B37" s="5" t="s">
        <v>147</v>
      </c>
      <c r="C37" s="6" t="s">
        <v>214</v>
      </c>
      <c r="D37" s="6" t="s">
        <v>215</v>
      </c>
      <c r="E37" s="5" t="s">
        <v>216</v>
      </c>
      <c r="F37" s="8"/>
      <c r="G37" s="8"/>
      <c r="H37" s="8"/>
      <c r="I37" s="8"/>
      <c r="J37" s="8"/>
      <c r="K37" s="8"/>
      <c r="L37" s="8"/>
      <c r="M37" s="8"/>
      <c r="N37" s="7" t="s">
        <v>146</v>
      </c>
      <c r="O37" s="7" t="s">
        <v>146</v>
      </c>
      <c r="P37" s="7" t="s">
        <v>146</v>
      </c>
      <c r="Q37" s="7" t="s">
        <v>146</v>
      </c>
      <c r="R37" s="7" t="s">
        <v>146</v>
      </c>
      <c r="S37" s="7" t="s">
        <v>146</v>
      </c>
      <c r="T37" s="7" t="s">
        <v>146</v>
      </c>
      <c r="U37" s="7" t="s">
        <v>146</v>
      </c>
      <c r="V37" s="7" t="s">
        <v>146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</row>
    <row r="38" spans="1:57" ht="22.05" customHeight="1" x14ac:dyDescent="0.3">
      <c r="A38" s="9">
        <v>26</v>
      </c>
      <c r="B38" s="9" t="s">
        <v>151</v>
      </c>
      <c r="C38" s="10" t="s">
        <v>217</v>
      </c>
      <c r="D38" s="10" t="s">
        <v>218</v>
      </c>
      <c r="E38" s="9" t="s">
        <v>216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7" t="s">
        <v>146</v>
      </c>
      <c r="T38" s="7" t="s">
        <v>146</v>
      </c>
      <c r="U38" s="7" t="s">
        <v>146</v>
      </c>
      <c r="V38" s="7" t="s">
        <v>146</v>
      </c>
      <c r="W38" s="7" t="s">
        <v>146</v>
      </c>
      <c r="X38" s="7" t="s">
        <v>146</v>
      </c>
      <c r="Y38" s="7" t="s">
        <v>146</v>
      </c>
      <c r="Z38" s="7" t="s">
        <v>146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</row>
    <row r="39" spans="1:57" ht="22.05" customHeight="1" x14ac:dyDescent="0.3">
      <c r="A39" s="5">
        <v>27</v>
      </c>
      <c r="B39" s="5" t="s">
        <v>154</v>
      </c>
      <c r="C39" s="6" t="s">
        <v>219</v>
      </c>
      <c r="D39" s="6" t="s">
        <v>220</v>
      </c>
      <c r="E39" s="5" t="s">
        <v>213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7" t="s">
        <v>146</v>
      </c>
      <c r="X39" s="7" t="s">
        <v>146</v>
      </c>
      <c r="Y39" s="7" t="s">
        <v>146</v>
      </c>
      <c r="Z39" s="7" t="s">
        <v>146</v>
      </c>
      <c r="AA39" s="7" t="s">
        <v>146</v>
      </c>
      <c r="AB39" s="7" t="s">
        <v>146</v>
      </c>
      <c r="AC39" s="7" t="s">
        <v>146</v>
      </c>
      <c r="AD39" s="7" t="s">
        <v>146</v>
      </c>
      <c r="AE39" s="7" t="s">
        <v>146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</row>
    <row r="40" spans="1:57" ht="22.05" customHeight="1" x14ac:dyDescent="0.3">
      <c r="A40" s="9">
        <v>28</v>
      </c>
      <c r="B40" s="9" t="s">
        <v>167</v>
      </c>
      <c r="C40" s="10" t="s">
        <v>221</v>
      </c>
      <c r="D40" s="10" t="s">
        <v>222</v>
      </c>
      <c r="E40" s="9" t="s">
        <v>223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7" t="s">
        <v>146</v>
      </c>
      <c r="X40" s="7" t="s">
        <v>146</v>
      </c>
      <c r="Y40" s="7" t="s">
        <v>146</v>
      </c>
      <c r="Z40" s="7" t="s">
        <v>146</v>
      </c>
      <c r="AA40" s="7" t="s">
        <v>146</v>
      </c>
      <c r="AB40" s="7" t="s">
        <v>146</v>
      </c>
      <c r="AC40" s="7" t="s">
        <v>146</v>
      </c>
      <c r="AD40" s="7" t="s">
        <v>146</v>
      </c>
      <c r="AE40" s="7" t="s">
        <v>146</v>
      </c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</row>
    <row r="41" spans="1:57" ht="22.05" customHeight="1" x14ac:dyDescent="0.3">
      <c r="A41" s="5">
        <v>29</v>
      </c>
      <c r="B41" s="5" t="s">
        <v>224</v>
      </c>
      <c r="C41" s="6" t="s">
        <v>225</v>
      </c>
      <c r="D41" s="6" t="s">
        <v>226</v>
      </c>
      <c r="E41" s="5" t="s">
        <v>145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7" t="s">
        <v>146</v>
      </c>
      <c r="AB41" s="7" t="s">
        <v>146</v>
      </c>
      <c r="AC41" s="7" t="s">
        <v>146</v>
      </c>
      <c r="AD41" s="7" t="s">
        <v>146</v>
      </c>
      <c r="AE41" s="7" t="s">
        <v>146</v>
      </c>
      <c r="AF41" s="7" t="s">
        <v>146</v>
      </c>
      <c r="AG41" s="7" t="s">
        <v>146</v>
      </c>
      <c r="AH41" s="7" t="s">
        <v>146</v>
      </c>
      <c r="AI41" s="7" t="s">
        <v>146</v>
      </c>
      <c r="AJ41" s="7" t="s">
        <v>146</v>
      </c>
      <c r="AK41" s="7" t="s">
        <v>146</v>
      </c>
      <c r="AL41" s="7" t="s">
        <v>146</v>
      </c>
      <c r="AM41" s="7" t="s">
        <v>146</v>
      </c>
      <c r="AN41" s="7" t="s">
        <v>146</v>
      </c>
      <c r="AO41" s="7" t="s">
        <v>146</v>
      </c>
      <c r="AP41" s="7" t="s">
        <v>146</v>
      </c>
      <c r="AQ41" s="7" t="s">
        <v>146</v>
      </c>
      <c r="AR41" s="7" t="s">
        <v>146</v>
      </c>
      <c r="AS41" s="7" t="s">
        <v>146</v>
      </c>
      <c r="AT41" s="7" t="s">
        <v>146</v>
      </c>
      <c r="AU41" s="7" t="s">
        <v>146</v>
      </c>
      <c r="AV41" s="7" t="s">
        <v>146</v>
      </c>
      <c r="AW41" s="7" t="s">
        <v>146</v>
      </c>
      <c r="AX41" s="7" t="s">
        <v>146</v>
      </c>
      <c r="AY41" s="7" t="s">
        <v>146</v>
      </c>
      <c r="AZ41" s="7" t="s">
        <v>146</v>
      </c>
      <c r="BA41" s="7" t="s">
        <v>146</v>
      </c>
      <c r="BB41" s="7" t="s">
        <v>146</v>
      </c>
      <c r="BC41" s="7" t="s">
        <v>146</v>
      </c>
      <c r="BD41" s="7" t="s">
        <v>146</v>
      </c>
      <c r="BE41" s="7" t="s">
        <v>146</v>
      </c>
    </row>
    <row r="42" spans="1:57" ht="25.05" customHeight="1" x14ac:dyDescent="0.3">
      <c r="A42" s="35" t="s">
        <v>227</v>
      </c>
      <c r="B42" s="35"/>
      <c r="C42" s="35"/>
      <c r="D42" s="36" t="s">
        <v>228</v>
      </c>
      <c r="E42" s="3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</row>
    <row r="43" spans="1:57" ht="22.05" customHeight="1" x14ac:dyDescent="0.3">
      <c r="A43" s="9">
        <v>30</v>
      </c>
      <c r="B43" s="9" t="s">
        <v>142</v>
      </c>
      <c r="C43" s="10" t="s">
        <v>229</v>
      </c>
      <c r="D43" s="10" t="s">
        <v>230</v>
      </c>
      <c r="E43" s="9" t="s">
        <v>231</v>
      </c>
      <c r="F43" s="11"/>
      <c r="G43" s="11"/>
      <c r="H43" s="11"/>
      <c r="I43" s="11"/>
      <c r="J43" s="7" t="s">
        <v>146</v>
      </c>
      <c r="K43" s="7" t="s">
        <v>146</v>
      </c>
      <c r="L43" s="7" t="s">
        <v>146</v>
      </c>
      <c r="M43" s="7" t="s">
        <v>146</v>
      </c>
      <c r="N43" s="7" t="s">
        <v>146</v>
      </c>
      <c r="O43" s="7" t="s">
        <v>146</v>
      </c>
      <c r="P43" s="7" t="s">
        <v>146</v>
      </c>
      <c r="Q43" s="7" t="s">
        <v>146</v>
      </c>
      <c r="R43" s="7" t="s">
        <v>146</v>
      </c>
      <c r="S43" s="7" t="s">
        <v>146</v>
      </c>
      <c r="T43" s="7" t="s">
        <v>146</v>
      </c>
      <c r="U43" s="7" t="s">
        <v>146</v>
      </c>
      <c r="V43" s="7" t="s">
        <v>146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</row>
    <row r="44" spans="1:57" ht="22.05" customHeight="1" x14ac:dyDescent="0.3">
      <c r="A44" s="5">
        <v>31</v>
      </c>
      <c r="B44" s="5" t="s">
        <v>147</v>
      </c>
      <c r="C44" s="6" t="s">
        <v>232</v>
      </c>
      <c r="D44" s="6" t="s">
        <v>233</v>
      </c>
      <c r="E44" s="5" t="s">
        <v>145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7" t="s">
        <v>146</v>
      </c>
      <c r="X44" s="7" t="s">
        <v>146</v>
      </c>
      <c r="Y44" s="7" t="s">
        <v>146</v>
      </c>
      <c r="Z44" s="7" t="s">
        <v>146</v>
      </c>
      <c r="AA44" s="7" t="s">
        <v>146</v>
      </c>
      <c r="AB44" s="7" t="s">
        <v>146</v>
      </c>
      <c r="AC44" s="7" t="s">
        <v>146</v>
      </c>
      <c r="AD44" s="7" t="s">
        <v>146</v>
      </c>
      <c r="AE44" s="7" t="s">
        <v>146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</row>
    <row r="45" spans="1:57" ht="22.05" customHeight="1" x14ac:dyDescent="0.3">
      <c r="A45" s="9">
        <v>32</v>
      </c>
      <c r="B45" s="9" t="s">
        <v>151</v>
      </c>
      <c r="C45" s="10" t="s">
        <v>234</v>
      </c>
      <c r="D45" s="10" t="s">
        <v>235</v>
      </c>
      <c r="E45" s="9" t="s">
        <v>145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7" t="s">
        <v>146</v>
      </c>
      <c r="AB45" s="7" t="s">
        <v>146</v>
      </c>
      <c r="AC45" s="7" t="s">
        <v>146</v>
      </c>
      <c r="AD45" s="7" t="s">
        <v>146</v>
      </c>
      <c r="AE45" s="7" t="s">
        <v>146</v>
      </c>
      <c r="AF45" s="7" t="s">
        <v>146</v>
      </c>
      <c r="AG45" s="7" t="s">
        <v>146</v>
      </c>
      <c r="AH45" s="7" t="s">
        <v>146</v>
      </c>
      <c r="AI45" s="7" t="s">
        <v>146</v>
      </c>
      <c r="AJ45" s="7" t="s">
        <v>146</v>
      </c>
      <c r="AK45" s="7" t="s">
        <v>146</v>
      </c>
      <c r="AL45" s="7" t="s">
        <v>146</v>
      </c>
      <c r="AM45" s="7" t="s">
        <v>146</v>
      </c>
      <c r="AN45" s="7" t="s">
        <v>146</v>
      </c>
      <c r="AO45" s="7" t="s">
        <v>146</v>
      </c>
      <c r="AP45" s="7" t="s">
        <v>146</v>
      </c>
      <c r="AQ45" s="7" t="s">
        <v>146</v>
      </c>
      <c r="AR45" s="7" t="s">
        <v>146</v>
      </c>
      <c r="AS45" s="7" t="s">
        <v>146</v>
      </c>
      <c r="AT45" s="7" t="s">
        <v>146</v>
      </c>
      <c r="AU45" s="7" t="s">
        <v>146</v>
      </c>
      <c r="AV45" s="7" t="s">
        <v>146</v>
      </c>
      <c r="AW45" s="7" t="s">
        <v>146</v>
      </c>
      <c r="AX45" s="7" t="s">
        <v>146</v>
      </c>
      <c r="AY45" s="7" t="s">
        <v>146</v>
      </c>
      <c r="AZ45" s="7" t="s">
        <v>146</v>
      </c>
      <c r="BA45" s="7" t="s">
        <v>146</v>
      </c>
      <c r="BB45" s="7" t="s">
        <v>146</v>
      </c>
      <c r="BC45" s="7" t="s">
        <v>146</v>
      </c>
      <c r="BD45" s="7" t="s">
        <v>146</v>
      </c>
      <c r="BE45" s="7" t="s">
        <v>146</v>
      </c>
    </row>
    <row r="46" spans="1:57" ht="25.05" customHeight="1" x14ac:dyDescent="0.3">
      <c r="A46" s="35" t="s">
        <v>236</v>
      </c>
      <c r="B46" s="35"/>
      <c r="C46" s="35"/>
      <c r="D46" s="36" t="s">
        <v>237</v>
      </c>
      <c r="E46" s="3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</row>
    <row r="47" spans="1:57" ht="22.05" customHeight="1" x14ac:dyDescent="0.3">
      <c r="A47" s="5">
        <v>33</v>
      </c>
      <c r="B47" s="5" t="s">
        <v>142</v>
      </c>
      <c r="C47" s="6" t="s">
        <v>238</v>
      </c>
      <c r="D47" s="6" t="s">
        <v>239</v>
      </c>
      <c r="E47" s="5" t="s">
        <v>145</v>
      </c>
      <c r="F47" s="8"/>
      <c r="G47" s="8"/>
      <c r="H47" s="8"/>
      <c r="I47" s="8"/>
      <c r="J47" s="7" t="s">
        <v>146</v>
      </c>
      <c r="K47" s="7" t="s">
        <v>146</v>
      </c>
      <c r="L47" s="7" t="s">
        <v>146</v>
      </c>
      <c r="M47" s="7" t="s">
        <v>146</v>
      </c>
      <c r="N47" s="7" t="s">
        <v>146</v>
      </c>
      <c r="O47" s="7" t="s">
        <v>146</v>
      </c>
      <c r="P47" s="7" t="s">
        <v>146</v>
      </c>
      <c r="Q47" s="7" t="s">
        <v>146</v>
      </c>
      <c r="R47" s="7" t="s">
        <v>146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</row>
    <row r="48" spans="1:57" ht="22.05" customHeight="1" x14ac:dyDescent="0.3">
      <c r="A48" s="9">
        <v>34</v>
      </c>
      <c r="B48" s="9" t="s">
        <v>147</v>
      </c>
      <c r="C48" s="10" t="s">
        <v>240</v>
      </c>
      <c r="D48" s="10" t="s">
        <v>241</v>
      </c>
      <c r="E48" s="9" t="s">
        <v>145</v>
      </c>
      <c r="F48" s="11"/>
      <c r="G48" s="11"/>
      <c r="H48" s="11"/>
      <c r="I48" s="11"/>
      <c r="J48" s="11"/>
      <c r="K48" s="11"/>
      <c r="L48" s="11"/>
      <c r="M48" s="11"/>
      <c r="N48" s="7" t="s">
        <v>146</v>
      </c>
      <c r="O48" s="7" t="s">
        <v>146</v>
      </c>
      <c r="P48" s="7" t="s">
        <v>146</v>
      </c>
      <c r="Q48" s="7" t="s">
        <v>146</v>
      </c>
      <c r="R48" s="7" t="s">
        <v>146</v>
      </c>
      <c r="S48" s="7" t="s">
        <v>146</v>
      </c>
      <c r="T48" s="7" t="s">
        <v>146</v>
      </c>
      <c r="U48" s="7" t="s">
        <v>146</v>
      </c>
      <c r="V48" s="7" t="s">
        <v>146</v>
      </c>
      <c r="W48" s="11"/>
      <c r="X48" s="11"/>
      <c r="Y48" s="11"/>
      <c r="Z48" s="11"/>
      <c r="AA48" s="7" t="s">
        <v>146</v>
      </c>
      <c r="AB48" s="7" t="s">
        <v>146</v>
      </c>
      <c r="AC48" s="7" t="s">
        <v>146</v>
      </c>
      <c r="AD48" s="7" t="s">
        <v>146</v>
      </c>
      <c r="AE48" s="7" t="s">
        <v>146</v>
      </c>
      <c r="AF48" s="7" t="s">
        <v>146</v>
      </c>
      <c r="AG48" s="7" t="s">
        <v>146</v>
      </c>
      <c r="AH48" s="7" t="s">
        <v>146</v>
      </c>
      <c r="AI48" s="7" t="s">
        <v>146</v>
      </c>
      <c r="AJ48" s="11"/>
      <c r="AK48" s="11"/>
      <c r="AL48" s="11"/>
      <c r="AM48" s="11"/>
      <c r="AN48" s="11"/>
      <c r="AO48" s="7" t="s">
        <v>146</v>
      </c>
      <c r="AP48" s="7" t="s">
        <v>146</v>
      </c>
      <c r="AQ48" s="7" t="s">
        <v>146</v>
      </c>
      <c r="AR48" s="7" t="s">
        <v>146</v>
      </c>
      <c r="AS48" s="7" t="s">
        <v>146</v>
      </c>
      <c r="AT48" s="7" t="s">
        <v>146</v>
      </c>
      <c r="AU48" s="7" t="s">
        <v>146</v>
      </c>
      <c r="AV48" s="7" t="s">
        <v>146</v>
      </c>
      <c r="AW48" s="11"/>
      <c r="AX48" s="11"/>
      <c r="AY48" s="11"/>
      <c r="AZ48" s="11"/>
      <c r="BA48" s="11"/>
      <c r="BB48" s="7" t="s">
        <v>146</v>
      </c>
      <c r="BC48" s="7" t="s">
        <v>146</v>
      </c>
      <c r="BD48" s="7" t="s">
        <v>146</v>
      </c>
      <c r="BE48" s="7" t="s">
        <v>146</v>
      </c>
    </row>
    <row r="49" spans="1:57" ht="22.05" customHeight="1" x14ac:dyDescent="0.3">
      <c r="A49" s="5">
        <v>35</v>
      </c>
      <c r="B49" s="5" t="s">
        <v>151</v>
      </c>
      <c r="C49" s="6" t="s">
        <v>242</v>
      </c>
      <c r="D49" s="6" t="s">
        <v>243</v>
      </c>
      <c r="E49" s="5" t="s">
        <v>198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7" t="s">
        <v>146</v>
      </c>
      <c r="X49" s="7" t="s">
        <v>146</v>
      </c>
      <c r="Y49" s="7" t="s">
        <v>146</v>
      </c>
      <c r="Z49" s="7" t="s">
        <v>146</v>
      </c>
      <c r="AA49" s="8"/>
      <c r="AB49" s="8"/>
      <c r="AC49" s="8"/>
      <c r="AD49" s="8"/>
      <c r="AE49" s="8"/>
      <c r="AF49" s="8"/>
      <c r="AG49" s="8"/>
      <c r="AH49" s="8"/>
      <c r="AI49" s="8"/>
      <c r="AJ49" s="7" t="s">
        <v>146</v>
      </c>
      <c r="AK49" s="7" t="s">
        <v>146</v>
      </c>
      <c r="AL49" s="7" t="s">
        <v>146</v>
      </c>
      <c r="AM49" s="7" t="s">
        <v>146</v>
      </c>
      <c r="AN49" s="7" t="s">
        <v>146</v>
      </c>
      <c r="AO49" s="8"/>
      <c r="AP49" s="8"/>
      <c r="AQ49" s="8"/>
      <c r="AR49" s="8"/>
      <c r="AS49" s="8"/>
      <c r="AT49" s="8"/>
      <c r="AU49" s="8"/>
      <c r="AV49" s="8"/>
      <c r="AW49" s="7" t="s">
        <v>146</v>
      </c>
      <c r="AX49" s="7" t="s">
        <v>146</v>
      </c>
      <c r="AY49" s="7" t="s">
        <v>146</v>
      </c>
      <c r="AZ49" s="7" t="s">
        <v>146</v>
      </c>
      <c r="BA49" s="7" t="s">
        <v>146</v>
      </c>
      <c r="BB49" s="8"/>
      <c r="BC49" s="8"/>
      <c r="BD49" s="8"/>
      <c r="BE49" s="8"/>
    </row>
    <row r="50" spans="1:57" ht="25.05" customHeight="1" x14ac:dyDescent="0.3">
      <c r="A50" s="35" t="s">
        <v>244</v>
      </c>
      <c r="B50" s="35"/>
      <c r="C50" s="35"/>
      <c r="D50" s="36" t="s">
        <v>245</v>
      </c>
      <c r="E50" s="3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</row>
    <row r="51" spans="1:57" ht="22.05" customHeight="1" x14ac:dyDescent="0.3">
      <c r="A51" s="9">
        <v>36</v>
      </c>
      <c r="B51" s="9" t="s">
        <v>142</v>
      </c>
      <c r="C51" s="10" t="s">
        <v>246</v>
      </c>
      <c r="D51" s="10" t="s">
        <v>247</v>
      </c>
      <c r="E51" s="9" t="s">
        <v>248</v>
      </c>
      <c r="F51" s="11"/>
      <c r="G51" s="11"/>
      <c r="H51" s="11"/>
      <c r="I51" s="11"/>
      <c r="J51" s="11"/>
      <c r="K51" s="11"/>
      <c r="L51" s="11"/>
      <c r="M51" s="11"/>
      <c r="N51" s="7" t="s">
        <v>146</v>
      </c>
      <c r="O51" s="7" t="s">
        <v>146</v>
      </c>
      <c r="P51" s="7" t="s">
        <v>146</v>
      </c>
      <c r="Q51" s="7" t="s">
        <v>146</v>
      </c>
      <c r="R51" s="7" t="s">
        <v>146</v>
      </c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</row>
    <row r="52" spans="1:57" ht="22.05" customHeight="1" x14ac:dyDescent="0.3">
      <c r="A52" s="5">
        <v>37</v>
      </c>
      <c r="B52" s="5" t="s">
        <v>147</v>
      </c>
      <c r="C52" s="6" t="s">
        <v>249</v>
      </c>
      <c r="D52" s="6" t="s">
        <v>250</v>
      </c>
      <c r="E52" s="5" t="s">
        <v>248</v>
      </c>
      <c r="F52" s="8"/>
      <c r="G52" s="8"/>
      <c r="H52" s="8"/>
      <c r="I52" s="8"/>
      <c r="J52" s="8"/>
      <c r="K52" s="8"/>
      <c r="L52" s="8"/>
      <c r="M52" s="8"/>
      <c r="N52" s="7" t="s">
        <v>146</v>
      </c>
      <c r="O52" s="7" t="s">
        <v>146</v>
      </c>
      <c r="P52" s="7" t="s">
        <v>146</v>
      </c>
      <c r="Q52" s="7" t="s">
        <v>146</v>
      </c>
      <c r="R52" s="7" t="s">
        <v>146</v>
      </c>
      <c r="S52" s="7" t="s">
        <v>146</v>
      </c>
      <c r="T52" s="7" t="s">
        <v>146</v>
      </c>
      <c r="U52" s="7" t="s">
        <v>146</v>
      </c>
      <c r="V52" s="7" t="s">
        <v>146</v>
      </c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</row>
    <row r="53" spans="1:57" ht="22.05" customHeight="1" x14ac:dyDescent="0.3">
      <c r="A53" s="9">
        <v>38</v>
      </c>
      <c r="B53" s="9" t="s">
        <v>151</v>
      </c>
      <c r="C53" s="10" t="s">
        <v>251</v>
      </c>
      <c r="D53" s="10" t="s">
        <v>252</v>
      </c>
      <c r="E53" s="9" t="s">
        <v>248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7" t="s">
        <v>146</v>
      </c>
      <c r="T53" s="7" t="s">
        <v>146</v>
      </c>
      <c r="U53" s="7" t="s">
        <v>146</v>
      </c>
      <c r="V53" s="7" t="s">
        <v>146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</row>
    <row r="54" spans="1:57" ht="22.05" customHeight="1" x14ac:dyDescent="0.3">
      <c r="A54" s="5">
        <v>39</v>
      </c>
      <c r="B54" s="5" t="s">
        <v>154</v>
      </c>
      <c r="C54" s="6" t="s">
        <v>253</v>
      </c>
      <c r="D54" s="6" t="s">
        <v>254</v>
      </c>
      <c r="E54" s="5" t="s">
        <v>145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7" t="s">
        <v>146</v>
      </c>
      <c r="X54" s="7" t="s">
        <v>146</v>
      </c>
      <c r="Y54" s="7" t="s">
        <v>146</v>
      </c>
      <c r="Z54" s="7" t="s">
        <v>146</v>
      </c>
      <c r="AA54" s="7" t="s">
        <v>146</v>
      </c>
      <c r="AB54" s="7" t="s">
        <v>146</v>
      </c>
      <c r="AC54" s="7" t="s">
        <v>146</v>
      </c>
      <c r="AD54" s="7" t="s">
        <v>146</v>
      </c>
      <c r="AE54" s="7" t="s">
        <v>146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</row>
    <row r="55" spans="1:57" ht="22.05" customHeight="1" x14ac:dyDescent="0.3">
      <c r="A55" s="9">
        <v>40</v>
      </c>
      <c r="B55" s="9" t="s">
        <v>167</v>
      </c>
      <c r="C55" s="10" t="s">
        <v>255</v>
      </c>
      <c r="D55" s="10" t="s">
        <v>254</v>
      </c>
      <c r="E55" s="9" t="s">
        <v>145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7" t="s">
        <v>146</v>
      </c>
      <c r="AG55" s="7" t="s">
        <v>146</v>
      </c>
      <c r="AH55" s="7" t="s">
        <v>146</v>
      </c>
      <c r="AI55" s="7" t="s">
        <v>146</v>
      </c>
      <c r="AJ55" s="7" t="s">
        <v>146</v>
      </c>
      <c r="AK55" s="7" t="s">
        <v>146</v>
      </c>
      <c r="AL55" s="7" t="s">
        <v>146</v>
      </c>
      <c r="AM55" s="7" t="s">
        <v>146</v>
      </c>
      <c r="AN55" s="7" t="s">
        <v>146</v>
      </c>
      <c r="AO55" s="7" t="s">
        <v>146</v>
      </c>
      <c r="AP55" s="7" t="s">
        <v>146</v>
      </c>
      <c r="AQ55" s="7" t="s">
        <v>146</v>
      </c>
      <c r="AR55" s="7" t="s">
        <v>146</v>
      </c>
      <c r="AS55" s="7" t="s">
        <v>146</v>
      </c>
      <c r="AT55" s="7" t="s">
        <v>146</v>
      </c>
      <c r="AU55" s="7" t="s">
        <v>146</v>
      </c>
      <c r="AV55" s="7" t="s">
        <v>146</v>
      </c>
      <c r="AW55" s="7" t="s">
        <v>146</v>
      </c>
      <c r="AX55" s="7" t="s">
        <v>146</v>
      </c>
      <c r="AY55" s="7" t="s">
        <v>146</v>
      </c>
      <c r="AZ55" s="7" t="s">
        <v>146</v>
      </c>
      <c r="BA55" s="7" t="s">
        <v>146</v>
      </c>
      <c r="BB55" s="7" t="s">
        <v>146</v>
      </c>
      <c r="BC55" s="7" t="s">
        <v>146</v>
      </c>
      <c r="BD55" s="7" t="s">
        <v>146</v>
      </c>
      <c r="BE55" s="7" t="s">
        <v>146</v>
      </c>
    </row>
    <row r="56" spans="1:57" ht="22.05" customHeight="1" x14ac:dyDescent="0.3">
      <c r="A56" s="5">
        <v>41</v>
      </c>
      <c r="B56" s="5" t="s">
        <v>224</v>
      </c>
      <c r="C56" s="6" t="s">
        <v>256</v>
      </c>
      <c r="D56" s="6" t="s">
        <v>257</v>
      </c>
      <c r="E56" s="5" t="s">
        <v>145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7" t="s">
        <v>146</v>
      </c>
      <c r="AG56" s="7" t="s">
        <v>146</v>
      </c>
      <c r="AH56" s="7" t="s">
        <v>146</v>
      </c>
      <c r="AI56" s="7" t="s">
        <v>146</v>
      </c>
      <c r="AJ56" s="7" t="s">
        <v>146</v>
      </c>
      <c r="AK56" s="7" t="s">
        <v>146</v>
      </c>
      <c r="AL56" s="7" t="s">
        <v>146</v>
      </c>
      <c r="AM56" s="7" t="s">
        <v>146</v>
      </c>
      <c r="AN56" s="7" t="s">
        <v>146</v>
      </c>
      <c r="AO56" s="7" t="s">
        <v>146</v>
      </c>
      <c r="AP56" s="7" t="s">
        <v>146</v>
      </c>
      <c r="AQ56" s="7" t="s">
        <v>146</v>
      </c>
      <c r="AR56" s="7" t="s">
        <v>146</v>
      </c>
      <c r="AS56" s="7" t="s">
        <v>146</v>
      </c>
      <c r="AT56" s="7" t="s">
        <v>146</v>
      </c>
      <c r="AU56" s="7" t="s">
        <v>146</v>
      </c>
      <c r="AV56" s="7" t="s">
        <v>146</v>
      </c>
      <c r="AW56" s="7" t="s">
        <v>146</v>
      </c>
      <c r="AX56" s="7" t="s">
        <v>146</v>
      </c>
      <c r="AY56" s="7" t="s">
        <v>146</v>
      </c>
      <c r="AZ56" s="7" t="s">
        <v>146</v>
      </c>
      <c r="BA56" s="7" t="s">
        <v>146</v>
      </c>
      <c r="BB56" s="7" t="s">
        <v>146</v>
      </c>
      <c r="BC56" s="7" t="s">
        <v>146</v>
      </c>
      <c r="BD56" s="7" t="s">
        <v>146</v>
      </c>
      <c r="BE56" s="7" t="s">
        <v>146</v>
      </c>
    </row>
    <row r="57" spans="1:57" ht="28.05" customHeight="1" x14ac:dyDescent="0.3">
      <c r="A57" s="34" t="s">
        <v>258</v>
      </c>
      <c r="B57" s="34"/>
      <c r="C57" s="34"/>
      <c r="D57" s="34"/>
      <c r="E57" s="3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 ht="25.05" customHeight="1" x14ac:dyDescent="0.3">
      <c r="A58" s="35" t="s">
        <v>259</v>
      </c>
      <c r="B58" s="35"/>
      <c r="C58" s="35"/>
      <c r="D58" s="36" t="s">
        <v>260</v>
      </c>
      <c r="E58" s="3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</row>
    <row r="59" spans="1:57" ht="22.05" customHeight="1" x14ac:dyDescent="0.3">
      <c r="A59" s="9">
        <v>42</v>
      </c>
      <c r="B59" s="9" t="s">
        <v>142</v>
      </c>
      <c r="C59" s="10" t="s">
        <v>261</v>
      </c>
      <c r="D59" s="10" t="s">
        <v>262</v>
      </c>
      <c r="E59" s="9" t="s">
        <v>263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7" t="s">
        <v>146</v>
      </c>
      <c r="AG59" s="7" t="s">
        <v>146</v>
      </c>
      <c r="AH59" s="7" t="s">
        <v>146</v>
      </c>
      <c r="AI59" s="7" t="s">
        <v>146</v>
      </c>
      <c r="AJ59" s="7" t="s">
        <v>146</v>
      </c>
      <c r="AK59" s="7" t="s">
        <v>146</v>
      </c>
      <c r="AL59" s="7" t="s">
        <v>146</v>
      </c>
      <c r="AM59" s="7" t="s">
        <v>146</v>
      </c>
      <c r="AN59" s="7" t="s">
        <v>146</v>
      </c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</row>
    <row r="60" spans="1:57" ht="22.05" customHeight="1" x14ac:dyDescent="0.3">
      <c r="A60" s="5">
        <v>43</v>
      </c>
      <c r="B60" s="5" t="s">
        <v>147</v>
      </c>
      <c r="C60" s="6" t="s">
        <v>264</v>
      </c>
      <c r="D60" s="6" t="s">
        <v>265</v>
      </c>
      <c r="E60" s="5" t="s">
        <v>263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7" t="s">
        <v>146</v>
      </c>
      <c r="AG60" s="7" t="s">
        <v>146</v>
      </c>
      <c r="AH60" s="7" t="s">
        <v>146</v>
      </c>
      <c r="AI60" s="7" t="s">
        <v>146</v>
      </c>
      <c r="AJ60" s="7" t="s">
        <v>146</v>
      </c>
      <c r="AK60" s="7" t="s">
        <v>146</v>
      </c>
      <c r="AL60" s="7" t="s">
        <v>146</v>
      </c>
      <c r="AM60" s="7" t="s">
        <v>146</v>
      </c>
      <c r="AN60" s="7" t="s">
        <v>146</v>
      </c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</row>
    <row r="61" spans="1:57" ht="22.05" customHeight="1" x14ac:dyDescent="0.3">
      <c r="A61" s="9">
        <v>44</v>
      </c>
      <c r="B61" s="9" t="s">
        <v>151</v>
      </c>
      <c r="C61" s="10" t="s">
        <v>266</v>
      </c>
      <c r="D61" s="10" t="s">
        <v>267</v>
      </c>
      <c r="E61" s="9" t="s">
        <v>263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7" t="s">
        <v>146</v>
      </c>
      <c r="AP61" s="7" t="s">
        <v>146</v>
      </c>
      <c r="AQ61" s="7" t="s">
        <v>146</v>
      </c>
      <c r="AR61" s="7" t="s">
        <v>146</v>
      </c>
      <c r="AS61" s="7" t="s">
        <v>146</v>
      </c>
      <c r="AT61" s="7" t="s">
        <v>146</v>
      </c>
      <c r="AU61" s="7" t="s">
        <v>146</v>
      </c>
      <c r="AV61" s="7" t="s">
        <v>146</v>
      </c>
      <c r="AW61" s="11"/>
      <c r="AX61" s="11"/>
      <c r="AY61" s="11"/>
      <c r="AZ61" s="11"/>
      <c r="BA61" s="11"/>
      <c r="BB61" s="11"/>
      <c r="BC61" s="11"/>
      <c r="BD61" s="11"/>
      <c r="BE61" s="11"/>
    </row>
    <row r="62" spans="1:57" ht="22.05" customHeight="1" x14ac:dyDescent="0.3">
      <c r="A62" s="5">
        <v>45</v>
      </c>
      <c r="B62" s="5" t="s">
        <v>154</v>
      </c>
      <c r="C62" s="6" t="s">
        <v>268</v>
      </c>
      <c r="D62" s="6" t="s">
        <v>269</v>
      </c>
      <c r="E62" s="5" t="s">
        <v>263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7" t="s">
        <v>146</v>
      </c>
      <c r="AX62" s="7" t="s">
        <v>146</v>
      </c>
      <c r="AY62" s="7" t="s">
        <v>146</v>
      </c>
      <c r="AZ62" s="7" t="s">
        <v>146</v>
      </c>
      <c r="BA62" s="7" t="s">
        <v>146</v>
      </c>
      <c r="BB62" s="7" t="s">
        <v>146</v>
      </c>
      <c r="BC62" s="7" t="s">
        <v>146</v>
      </c>
      <c r="BD62" s="7" t="s">
        <v>146</v>
      </c>
      <c r="BE62" s="7" t="s">
        <v>146</v>
      </c>
    </row>
    <row r="63" spans="1:57" ht="28.05" customHeight="1" x14ac:dyDescent="0.3">
      <c r="A63" s="34" t="s">
        <v>270</v>
      </c>
      <c r="B63" s="34"/>
      <c r="C63" s="34"/>
      <c r="D63" s="34"/>
      <c r="E63" s="3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 ht="25.05" customHeight="1" x14ac:dyDescent="0.3">
      <c r="A64" s="35" t="s">
        <v>271</v>
      </c>
      <c r="B64" s="35"/>
      <c r="C64" s="35"/>
      <c r="D64" s="36" t="s">
        <v>272</v>
      </c>
      <c r="E64" s="3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</row>
    <row r="65" spans="1:57" ht="22.05" customHeight="1" x14ac:dyDescent="0.3">
      <c r="A65" s="9">
        <v>46</v>
      </c>
      <c r="B65" s="9" t="s">
        <v>142</v>
      </c>
      <c r="C65" s="10" t="s">
        <v>273</v>
      </c>
      <c r="D65" s="10" t="s">
        <v>274</v>
      </c>
      <c r="E65" s="9" t="s">
        <v>275</v>
      </c>
      <c r="F65" s="7" t="s">
        <v>146</v>
      </c>
      <c r="G65" s="7" t="s">
        <v>146</v>
      </c>
      <c r="H65" s="7" t="s">
        <v>146</v>
      </c>
      <c r="I65" s="7" t="s">
        <v>146</v>
      </c>
      <c r="J65" s="7" t="s">
        <v>146</v>
      </c>
      <c r="K65" s="7" t="s">
        <v>146</v>
      </c>
      <c r="L65" s="7" t="s">
        <v>146</v>
      </c>
      <c r="M65" s="7" t="s">
        <v>146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</row>
    <row r="66" spans="1:57" ht="22.05" customHeight="1" x14ac:dyDescent="0.3">
      <c r="A66" s="5">
        <v>47</v>
      </c>
      <c r="B66" s="5" t="s">
        <v>147</v>
      </c>
      <c r="C66" s="6" t="s">
        <v>276</v>
      </c>
      <c r="D66" s="6" t="s">
        <v>277</v>
      </c>
      <c r="E66" s="5" t="s">
        <v>176</v>
      </c>
      <c r="F66" s="8"/>
      <c r="G66" s="8"/>
      <c r="H66" s="8"/>
      <c r="I66" s="8"/>
      <c r="J66" s="8"/>
      <c r="K66" s="8"/>
      <c r="L66" s="8"/>
      <c r="M66" s="8"/>
      <c r="N66" s="7" t="s">
        <v>146</v>
      </c>
      <c r="O66" s="7" t="s">
        <v>146</v>
      </c>
      <c r="P66" s="7" t="s">
        <v>146</v>
      </c>
      <c r="Q66" s="7" t="s">
        <v>146</v>
      </c>
      <c r="R66" s="7" t="s">
        <v>146</v>
      </c>
      <c r="S66" s="7" t="s">
        <v>146</v>
      </c>
      <c r="T66" s="7" t="s">
        <v>146</v>
      </c>
      <c r="U66" s="7" t="s">
        <v>146</v>
      </c>
      <c r="V66" s="7" t="s">
        <v>146</v>
      </c>
      <c r="W66" s="7" t="s">
        <v>146</v>
      </c>
      <c r="X66" s="7" t="s">
        <v>146</v>
      </c>
      <c r="Y66" s="7" t="s">
        <v>146</v>
      </c>
      <c r="Z66" s="7" t="s">
        <v>146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</row>
    <row r="67" spans="1:57" ht="22.05" customHeight="1" x14ac:dyDescent="0.3">
      <c r="A67" s="9">
        <v>48</v>
      </c>
      <c r="B67" s="9" t="s">
        <v>151</v>
      </c>
      <c r="C67" s="10" t="s">
        <v>278</v>
      </c>
      <c r="D67" s="10" t="s">
        <v>279</v>
      </c>
      <c r="E67" s="9" t="s">
        <v>145</v>
      </c>
      <c r="F67" s="11"/>
      <c r="G67" s="11"/>
      <c r="H67" s="11"/>
      <c r="I67" s="11"/>
      <c r="J67" s="11"/>
      <c r="K67" s="11"/>
      <c r="L67" s="11"/>
      <c r="M67" s="11"/>
      <c r="N67" s="7" t="s">
        <v>146</v>
      </c>
      <c r="O67" s="7" t="s">
        <v>146</v>
      </c>
      <c r="P67" s="7" t="s">
        <v>146</v>
      </c>
      <c r="Q67" s="7" t="s">
        <v>146</v>
      </c>
      <c r="R67" s="7" t="s">
        <v>146</v>
      </c>
      <c r="S67" s="7" t="s">
        <v>146</v>
      </c>
      <c r="T67" s="7" t="s">
        <v>146</v>
      </c>
      <c r="U67" s="7" t="s">
        <v>146</v>
      </c>
      <c r="V67" s="7" t="s">
        <v>146</v>
      </c>
      <c r="W67" s="7" t="s">
        <v>146</v>
      </c>
      <c r="X67" s="7" t="s">
        <v>146</v>
      </c>
      <c r="Y67" s="7" t="s">
        <v>146</v>
      </c>
      <c r="Z67" s="7" t="s">
        <v>146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</row>
    <row r="68" spans="1:57" ht="22.05" customHeight="1" x14ac:dyDescent="0.3">
      <c r="A68" s="5">
        <v>49</v>
      </c>
      <c r="B68" s="5" t="s">
        <v>154</v>
      </c>
      <c r="C68" s="6" t="s">
        <v>280</v>
      </c>
      <c r="D68" s="6" t="s">
        <v>281</v>
      </c>
      <c r="E68" s="5" t="s">
        <v>176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7" t="s">
        <v>146</v>
      </c>
      <c r="X68" s="7" t="s">
        <v>146</v>
      </c>
      <c r="Y68" s="7" t="s">
        <v>146</v>
      </c>
      <c r="Z68" s="7" t="s">
        <v>146</v>
      </c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</row>
    <row r="69" spans="1:57" ht="22.05" customHeight="1" x14ac:dyDescent="0.3">
      <c r="A69" s="9">
        <v>50</v>
      </c>
      <c r="B69" s="9" t="s">
        <v>167</v>
      </c>
      <c r="C69" s="10" t="s">
        <v>282</v>
      </c>
      <c r="D69" s="10" t="s">
        <v>283</v>
      </c>
      <c r="E69" s="9" t="s">
        <v>275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7" t="s">
        <v>146</v>
      </c>
      <c r="X69" s="7" t="s">
        <v>146</v>
      </c>
      <c r="Y69" s="7" t="s">
        <v>146</v>
      </c>
      <c r="Z69" s="7" t="s">
        <v>146</v>
      </c>
      <c r="AA69" s="7" t="s">
        <v>146</v>
      </c>
      <c r="AB69" s="7" t="s">
        <v>146</v>
      </c>
      <c r="AC69" s="7" t="s">
        <v>146</v>
      </c>
      <c r="AD69" s="7" t="s">
        <v>146</v>
      </c>
      <c r="AE69" s="7" t="s">
        <v>146</v>
      </c>
      <c r="AF69" s="7" t="s">
        <v>146</v>
      </c>
      <c r="AG69" s="7" t="s">
        <v>146</v>
      </c>
      <c r="AH69" s="7" t="s">
        <v>146</v>
      </c>
      <c r="AI69" s="7" t="s">
        <v>146</v>
      </c>
      <c r="AJ69" s="7" t="s">
        <v>146</v>
      </c>
      <c r="AK69" s="7" t="s">
        <v>146</v>
      </c>
      <c r="AL69" s="7" t="s">
        <v>146</v>
      </c>
      <c r="AM69" s="7" t="s">
        <v>146</v>
      </c>
      <c r="AN69" s="7" t="s">
        <v>146</v>
      </c>
      <c r="AO69" s="7" t="s">
        <v>146</v>
      </c>
      <c r="AP69" s="7" t="s">
        <v>146</v>
      </c>
      <c r="AQ69" s="7" t="s">
        <v>146</v>
      </c>
      <c r="AR69" s="7" t="s">
        <v>146</v>
      </c>
      <c r="AS69" s="7" t="s">
        <v>146</v>
      </c>
      <c r="AT69" s="7" t="s">
        <v>146</v>
      </c>
      <c r="AU69" s="7" t="s">
        <v>146</v>
      </c>
      <c r="AV69" s="7" t="s">
        <v>146</v>
      </c>
      <c r="AW69" s="7" t="s">
        <v>146</v>
      </c>
      <c r="AX69" s="7" t="s">
        <v>146</v>
      </c>
      <c r="AY69" s="7" t="s">
        <v>146</v>
      </c>
      <c r="AZ69" s="7" t="s">
        <v>146</v>
      </c>
      <c r="BA69" s="7" t="s">
        <v>146</v>
      </c>
      <c r="BB69" s="7" t="s">
        <v>146</v>
      </c>
      <c r="BC69" s="7" t="s">
        <v>146</v>
      </c>
      <c r="BD69" s="7" t="s">
        <v>146</v>
      </c>
      <c r="BE69" s="7" t="s">
        <v>146</v>
      </c>
    </row>
    <row r="70" spans="1:57" ht="28.05" customHeight="1" x14ac:dyDescent="0.3">
      <c r="A70" s="34" t="s">
        <v>284</v>
      </c>
      <c r="B70" s="34"/>
      <c r="C70" s="34"/>
      <c r="D70" s="34"/>
      <c r="E70" s="3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 ht="25.05" customHeight="1" x14ac:dyDescent="0.3">
      <c r="A71" s="35" t="s">
        <v>285</v>
      </c>
      <c r="B71" s="35"/>
      <c r="C71" s="35"/>
      <c r="D71" s="36" t="s">
        <v>286</v>
      </c>
      <c r="E71" s="3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</row>
    <row r="72" spans="1:57" ht="22.05" customHeight="1" x14ac:dyDescent="0.3">
      <c r="A72" s="5">
        <v>51</v>
      </c>
      <c r="B72" s="5" t="s">
        <v>142</v>
      </c>
      <c r="C72" s="6" t="s">
        <v>287</v>
      </c>
      <c r="D72" s="6" t="s">
        <v>288</v>
      </c>
      <c r="E72" s="5" t="s">
        <v>289</v>
      </c>
      <c r="F72" s="8"/>
      <c r="G72" s="8"/>
      <c r="H72" s="8"/>
      <c r="I72" s="8"/>
      <c r="J72" s="8"/>
      <c r="K72" s="8"/>
      <c r="L72" s="8"/>
      <c r="M72" s="8"/>
      <c r="N72" s="7" t="s">
        <v>146</v>
      </c>
      <c r="O72" s="7" t="s">
        <v>146</v>
      </c>
      <c r="P72" s="7" t="s">
        <v>146</v>
      </c>
      <c r="Q72" s="7" t="s">
        <v>146</v>
      </c>
      <c r="R72" s="7" t="s">
        <v>146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</row>
    <row r="73" spans="1:57" ht="22.05" customHeight="1" x14ac:dyDescent="0.3">
      <c r="A73" s="9">
        <v>52</v>
      </c>
      <c r="B73" s="9" t="s">
        <v>147</v>
      </c>
      <c r="C73" s="10" t="s">
        <v>290</v>
      </c>
      <c r="D73" s="10" t="s">
        <v>291</v>
      </c>
      <c r="E73" s="9" t="s">
        <v>292</v>
      </c>
      <c r="F73" s="11"/>
      <c r="G73" s="11"/>
      <c r="H73" s="11"/>
      <c r="I73" s="11"/>
      <c r="J73" s="11"/>
      <c r="K73" s="11"/>
      <c r="L73" s="11"/>
      <c r="M73" s="11"/>
      <c r="N73" s="7" t="s">
        <v>146</v>
      </c>
      <c r="O73" s="7" t="s">
        <v>146</v>
      </c>
      <c r="P73" s="7" t="s">
        <v>146</v>
      </c>
      <c r="Q73" s="7" t="s">
        <v>146</v>
      </c>
      <c r="R73" s="7" t="s">
        <v>146</v>
      </c>
      <c r="S73" s="7" t="s">
        <v>146</v>
      </c>
      <c r="T73" s="7" t="s">
        <v>146</v>
      </c>
      <c r="U73" s="7" t="s">
        <v>146</v>
      </c>
      <c r="V73" s="7" t="s">
        <v>146</v>
      </c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</row>
    <row r="74" spans="1:57" ht="22.05" customHeight="1" x14ac:dyDescent="0.3">
      <c r="A74" s="5">
        <v>53</v>
      </c>
      <c r="B74" s="5" t="s">
        <v>151</v>
      </c>
      <c r="C74" s="6" t="s">
        <v>293</v>
      </c>
      <c r="D74" s="6" t="s">
        <v>294</v>
      </c>
      <c r="E74" s="5" t="s">
        <v>292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7" t="s">
        <v>146</v>
      </c>
      <c r="T74" s="7" t="s">
        <v>146</v>
      </c>
      <c r="U74" s="7" t="s">
        <v>146</v>
      </c>
      <c r="V74" s="7" t="s">
        <v>146</v>
      </c>
      <c r="W74" s="7" t="s">
        <v>146</v>
      </c>
      <c r="X74" s="7" t="s">
        <v>146</v>
      </c>
      <c r="Y74" s="7" t="s">
        <v>146</v>
      </c>
      <c r="Z74" s="7" t="s">
        <v>146</v>
      </c>
      <c r="AA74" s="7" t="s">
        <v>146</v>
      </c>
      <c r="AB74" s="7" t="s">
        <v>146</v>
      </c>
      <c r="AC74" s="7" t="s">
        <v>146</v>
      </c>
      <c r="AD74" s="7" t="s">
        <v>146</v>
      </c>
      <c r="AE74" s="7" t="s">
        <v>146</v>
      </c>
      <c r="AF74" s="7" t="s">
        <v>146</v>
      </c>
      <c r="AG74" s="7" t="s">
        <v>146</v>
      </c>
      <c r="AH74" s="7" t="s">
        <v>146</v>
      </c>
      <c r="AI74" s="7" t="s">
        <v>146</v>
      </c>
      <c r="AJ74" s="7" t="s">
        <v>146</v>
      </c>
      <c r="AK74" s="7" t="s">
        <v>146</v>
      </c>
      <c r="AL74" s="7" t="s">
        <v>146</v>
      </c>
      <c r="AM74" s="7" t="s">
        <v>146</v>
      </c>
      <c r="AN74" s="7" t="s">
        <v>146</v>
      </c>
      <c r="AO74" s="7" t="s">
        <v>146</v>
      </c>
      <c r="AP74" s="7" t="s">
        <v>146</v>
      </c>
      <c r="AQ74" s="7" t="s">
        <v>146</v>
      </c>
      <c r="AR74" s="7" t="s">
        <v>146</v>
      </c>
      <c r="AS74" s="7" t="s">
        <v>146</v>
      </c>
      <c r="AT74" s="7" t="s">
        <v>146</v>
      </c>
      <c r="AU74" s="7" t="s">
        <v>146</v>
      </c>
      <c r="AV74" s="7" t="s">
        <v>146</v>
      </c>
      <c r="AW74" s="7" t="s">
        <v>146</v>
      </c>
      <c r="AX74" s="7" t="s">
        <v>146</v>
      </c>
      <c r="AY74" s="7" t="s">
        <v>146</v>
      </c>
      <c r="AZ74" s="7" t="s">
        <v>146</v>
      </c>
      <c r="BA74" s="7" t="s">
        <v>146</v>
      </c>
      <c r="BB74" s="7" t="s">
        <v>146</v>
      </c>
      <c r="BC74" s="7" t="s">
        <v>146</v>
      </c>
      <c r="BD74" s="7" t="s">
        <v>146</v>
      </c>
      <c r="BE74" s="7" t="s">
        <v>146</v>
      </c>
    </row>
    <row r="75" spans="1:57" ht="22.05" customHeight="1" x14ac:dyDescent="0.3">
      <c r="A75" s="9">
        <v>54</v>
      </c>
      <c r="B75" s="9" t="s">
        <v>154</v>
      </c>
      <c r="C75" s="10" t="s">
        <v>282</v>
      </c>
      <c r="D75" s="10" t="s">
        <v>295</v>
      </c>
      <c r="E75" s="9" t="s">
        <v>292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7" t="s">
        <v>146</v>
      </c>
      <c r="X75" s="7" t="s">
        <v>146</v>
      </c>
      <c r="Y75" s="7" t="s">
        <v>146</v>
      </c>
      <c r="Z75" s="7" t="s">
        <v>146</v>
      </c>
      <c r="AA75" s="7" t="s">
        <v>146</v>
      </c>
      <c r="AB75" s="7" t="s">
        <v>146</v>
      </c>
      <c r="AC75" s="7" t="s">
        <v>146</v>
      </c>
      <c r="AD75" s="7" t="s">
        <v>146</v>
      </c>
      <c r="AE75" s="7" t="s">
        <v>146</v>
      </c>
      <c r="AF75" s="7" t="s">
        <v>146</v>
      </c>
      <c r="AG75" s="7" t="s">
        <v>146</v>
      </c>
      <c r="AH75" s="7" t="s">
        <v>146</v>
      </c>
      <c r="AI75" s="7" t="s">
        <v>146</v>
      </c>
      <c r="AJ75" s="7" t="s">
        <v>146</v>
      </c>
      <c r="AK75" s="7" t="s">
        <v>146</v>
      </c>
      <c r="AL75" s="7" t="s">
        <v>146</v>
      </c>
      <c r="AM75" s="7" t="s">
        <v>146</v>
      </c>
      <c r="AN75" s="7" t="s">
        <v>146</v>
      </c>
      <c r="AO75" s="7" t="s">
        <v>146</v>
      </c>
      <c r="AP75" s="7" t="s">
        <v>146</v>
      </c>
      <c r="AQ75" s="7" t="s">
        <v>146</v>
      </c>
      <c r="AR75" s="7" t="s">
        <v>146</v>
      </c>
      <c r="AS75" s="7" t="s">
        <v>146</v>
      </c>
      <c r="AT75" s="7" t="s">
        <v>146</v>
      </c>
      <c r="AU75" s="7" t="s">
        <v>146</v>
      </c>
      <c r="AV75" s="7" t="s">
        <v>146</v>
      </c>
      <c r="AW75" s="7" t="s">
        <v>146</v>
      </c>
      <c r="AX75" s="7" t="s">
        <v>146</v>
      </c>
      <c r="AY75" s="7" t="s">
        <v>146</v>
      </c>
      <c r="AZ75" s="7" t="s">
        <v>146</v>
      </c>
      <c r="BA75" s="7" t="s">
        <v>146</v>
      </c>
      <c r="BB75" s="7" t="s">
        <v>146</v>
      </c>
      <c r="BC75" s="7" t="s">
        <v>146</v>
      </c>
      <c r="BD75" s="7" t="s">
        <v>146</v>
      </c>
      <c r="BE75" s="7" t="s">
        <v>146</v>
      </c>
    </row>
    <row r="76" spans="1:57" ht="25.05" customHeight="1" x14ac:dyDescent="0.3">
      <c r="A76" s="35" t="s">
        <v>296</v>
      </c>
      <c r="B76" s="35"/>
      <c r="C76" s="35"/>
      <c r="D76" s="36" t="s">
        <v>297</v>
      </c>
      <c r="E76" s="3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</row>
    <row r="77" spans="1:57" ht="22.05" customHeight="1" x14ac:dyDescent="0.3">
      <c r="A77" s="5">
        <v>55</v>
      </c>
      <c r="B77" s="5" t="s">
        <v>142</v>
      </c>
      <c r="C77" s="6" t="s">
        <v>298</v>
      </c>
      <c r="D77" s="6" t="s">
        <v>299</v>
      </c>
      <c r="E77" s="5" t="s">
        <v>300</v>
      </c>
      <c r="F77" s="8"/>
      <c r="G77" s="8"/>
      <c r="H77" s="8"/>
      <c r="I77" s="8"/>
      <c r="J77" s="8"/>
      <c r="K77" s="8"/>
      <c r="L77" s="8"/>
      <c r="M77" s="8"/>
      <c r="N77" s="7" t="s">
        <v>146</v>
      </c>
      <c r="O77" s="7" t="s">
        <v>146</v>
      </c>
      <c r="P77" s="7" t="s">
        <v>146</v>
      </c>
      <c r="Q77" s="7" t="s">
        <v>146</v>
      </c>
      <c r="R77" s="7" t="s">
        <v>146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</row>
    <row r="78" spans="1:57" ht="22.05" customHeight="1" x14ac:dyDescent="0.3">
      <c r="A78" s="9">
        <v>56</v>
      </c>
      <c r="B78" s="9" t="s">
        <v>147</v>
      </c>
      <c r="C78" s="10" t="s">
        <v>301</v>
      </c>
      <c r="D78" s="10" t="s">
        <v>302</v>
      </c>
      <c r="E78" s="9" t="s">
        <v>303</v>
      </c>
      <c r="F78" s="11"/>
      <c r="G78" s="11"/>
      <c r="H78" s="11"/>
      <c r="I78" s="11"/>
      <c r="J78" s="11"/>
      <c r="K78" s="11"/>
      <c r="L78" s="11"/>
      <c r="M78" s="11"/>
      <c r="N78" s="7" t="s">
        <v>146</v>
      </c>
      <c r="O78" s="7" t="s">
        <v>146</v>
      </c>
      <c r="P78" s="7" t="s">
        <v>146</v>
      </c>
      <c r="Q78" s="7" t="s">
        <v>146</v>
      </c>
      <c r="R78" s="7" t="s">
        <v>146</v>
      </c>
      <c r="S78" s="7" t="s">
        <v>146</v>
      </c>
      <c r="T78" s="7" t="s">
        <v>146</v>
      </c>
      <c r="U78" s="7" t="s">
        <v>146</v>
      </c>
      <c r="V78" s="7" t="s">
        <v>146</v>
      </c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</row>
    <row r="79" spans="1:57" ht="22.05" customHeight="1" x14ac:dyDescent="0.3">
      <c r="A79" s="5">
        <v>57</v>
      </c>
      <c r="B79" s="5" t="s">
        <v>151</v>
      </c>
      <c r="C79" s="6" t="s">
        <v>304</v>
      </c>
      <c r="D79" s="6" t="s">
        <v>305</v>
      </c>
      <c r="E79" s="5" t="s">
        <v>292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7" t="s">
        <v>146</v>
      </c>
      <c r="T79" s="7" t="s">
        <v>146</v>
      </c>
      <c r="U79" s="7" t="s">
        <v>146</v>
      </c>
      <c r="V79" s="7" t="s">
        <v>146</v>
      </c>
      <c r="W79" s="7" t="s">
        <v>146</v>
      </c>
      <c r="X79" s="7" t="s">
        <v>146</v>
      </c>
      <c r="Y79" s="7" t="s">
        <v>146</v>
      </c>
      <c r="Z79" s="7" t="s">
        <v>146</v>
      </c>
      <c r="AA79" s="7" t="s">
        <v>146</v>
      </c>
      <c r="AB79" s="7" t="s">
        <v>146</v>
      </c>
      <c r="AC79" s="7" t="s">
        <v>146</v>
      </c>
      <c r="AD79" s="7" t="s">
        <v>146</v>
      </c>
      <c r="AE79" s="7" t="s">
        <v>146</v>
      </c>
      <c r="AF79" s="7" t="s">
        <v>146</v>
      </c>
      <c r="AG79" s="7" t="s">
        <v>146</v>
      </c>
      <c r="AH79" s="7" t="s">
        <v>146</v>
      </c>
      <c r="AI79" s="7" t="s">
        <v>146</v>
      </c>
      <c r="AJ79" s="7" t="s">
        <v>146</v>
      </c>
      <c r="AK79" s="7" t="s">
        <v>146</v>
      </c>
      <c r="AL79" s="7" t="s">
        <v>146</v>
      </c>
      <c r="AM79" s="7" t="s">
        <v>146</v>
      </c>
      <c r="AN79" s="7" t="s">
        <v>146</v>
      </c>
      <c r="AO79" s="7" t="s">
        <v>146</v>
      </c>
      <c r="AP79" s="7" t="s">
        <v>146</v>
      </c>
      <c r="AQ79" s="7" t="s">
        <v>146</v>
      </c>
      <c r="AR79" s="7" t="s">
        <v>146</v>
      </c>
      <c r="AS79" s="7" t="s">
        <v>146</v>
      </c>
      <c r="AT79" s="7" t="s">
        <v>146</v>
      </c>
      <c r="AU79" s="7" t="s">
        <v>146</v>
      </c>
      <c r="AV79" s="7" t="s">
        <v>146</v>
      </c>
      <c r="AW79" s="7" t="s">
        <v>146</v>
      </c>
      <c r="AX79" s="7" t="s">
        <v>146</v>
      </c>
      <c r="AY79" s="7" t="s">
        <v>146</v>
      </c>
      <c r="AZ79" s="7" t="s">
        <v>146</v>
      </c>
      <c r="BA79" s="7" t="s">
        <v>146</v>
      </c>
      <c r="BB79" s="7" t="s">
        <v>146</v>
      </c>
      <c r="BC79" s="7" t="s">
        <v>146</v>
      </c>
      <c r="BD79" s="7" t="s">
        <v>146</v>
      </c>
      <c r="BE79" s="7" t="s">
        <v>146</v>
      </c>
    </row>
    <row r="80" spans="1:57" ht="22.05" customHeight="1" x14ac:dyDescent="0.3">
      <c r="A80" s="9">
        <v>58</v>
      </c>
      <c r="B80" s="9" t="s">
        <v>154</v>
      </c>
      <c r="C80" s="10" t="s">
        <v>306</v>
      </c>
      <c r="D80" s="10" t="s">
        <v>307</v>
      </c>
      <c r="E80" s="9" t="s">
        <v>145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7" t="s">
        <v>146</v>
      </c>
      <c r="X80" s="7" t="s">
        <v>146</v>
      </c>
      <c r="Y80" s="7" t="s">
        <v>146</v>
      </c>
      <c r="Z80" s="7" t="s">
        <v>146</v>
      </c>
      <c r="AA80" s="7" t="s">
        <v>146</v>
      </c>
      <c r="AB80" s="7" t="s">
        <v>146</v>
      </c>
      <c r="AC80" s="7" t="s">
        <v>146</v>
      </c>
      <c r="AD80" s="7" t="s">
        <v>146</v>
      </c>
      <c r="AE80" s="7" t="s">
        <v>146</v>
      </c>
      <c r="AF80" s="7" t="s">
        <v>146</v>
      </c>
      <c r="AG80" s="7" t="s">
        <v>146</v>
      </c>
      <c r="AH80" s="7" t="s">
        <v>146</v>
      </c>
      <c r="AI80" s="7" t="s">
        <v>146</v>
      </c>
      <c r="AJ80" s="7" t="s">
        <v>146</v>
      </c>
      <c r="AK80" s="7" t="s">
        <v>146</v>
      </c>
      <c r="AL80" s="7" t="s">
        <v>146</v>
      </c>
      <c r="AM80" s="7" t="s">
        <v>146</v>
      </c>
      <c r="AN80" s="7" t="s">
        <v>146</v>
      </c>
      <c r="AO80" s="7" t="s">
        <v>146</v>
      </c>
      <c r="AP80" s="7" t="s">
        <v>146</v>
      </c>
      <c r="AQ80" s="7" t="s">
        <v>146</v>
      </c>
      <c r="AR80" s="7" t="s">
        <v>146</v>
      </c>
      <c r="AS80" s="7" t="s">
        <v>146</v>
      </c>
      <c r="AT80" s="7" t="s">
        <v>146</v>
      </c>
      <c r="AU80" s="7" t="s">
        <v>146</v>
      </c>
      <c r="AV80" s="7" t="s">
        <v>146</v>
      </c>
      <c r="AW80" s="7" t="s">
        <v>146</v>
      </c>
      <c r="AX80" s="7" t="s">
        <v>146</v>
      </c>
      <c r="AY80" s="7" t="s">
        <v>146</v>
      </c>
      <c r="AZ80" s="7" t="s">
        <v>146</v>
      </c>
      <c r="BA80" s="7" t="s">
        <v>146</v>
      </c>
      <c r="BB80" s="7" t="s">
        <v>146</v>
      </c>
      <c r="BC80" s="7" t="s">
        <v>146</v>
      </c>
      <c r="BD80" s="7" t="s">
        <v>146</v>
      </c>
      <c r="BE80" s="7" t="s">
        <v>146</v>
      </c>
    </row>
    <row r="81" spans="1:57" ht="25.05" customHeight="1" x14ac:dyDescent="0.3">
      <c r="A81" s="35" t="s">
        <v>308</v>
      </c>
      <c r="B81" s="35"/>
      <c r="C81" s="35"/>
      <c r="D81" s="36" t="s">
        <v>309</v>
      </c>
      <c r="E81" s="3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</row>
    <row r="82" spans="1:57" ht="22.05" customHeight="1" x14ac:dyDescent="0.3">
      <c r="A82" s="5">
        <v>59</v>
      </c>
      <c r="B82" s="5" t="s">
        <v>142</v>
      </c>
      <c r="C82" s="6" t="s">
        <v>310</v>
      </c>
      <c r="D82" s="6" t="s">
        <v>311</v>
      </c>
      <c r="E82" s="5" t="s">
        <v>300</v>
      </c>
      <c r="F82" s="8"/>
      <c r="G82" s="8"/>
      <c r="H82" s="8"/>
      <c r="I82" s="8"/>
      <c r="J82" s="8"/>
      <c r="K82" s="8"/>
      <c r="L82" s="8"/>
      <c r="M82" s="8"/>
      <c r="N82" s="7" t="s">
        <v>146</v>
      </c>
      <c r="O82" s="7" t="s">
        <v>146</v>
      </c>
      <c r="P82" s="7" t="s">
        <v>146</v>
      </c>
      <c r="Q82" s="7" t="s">
        <v>146</v>
      </c>
      <c r="R82" s="7" t="s">
        <v>146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</row>
    <row r="83" spans="1:57" ht="22.05" customHeight="1" x14ac:dyDescent="0.3">
      <c r="A83" s="9">
        <v>60</v>
      </c>
      <c r="B83" s="9" t="s">
        <v>147</v>
      </c>
      <c r="C83" s="10" t="s">
        <v>312</v>
      </c>
      <c r="D83" s="10" t="s">
        <v>313</v>
      </c>
      <c r="E83" s="9" t="s">
        <v>314</v>
      </c>
      <c r="F83" s="11"/>
      <c r="G83" s="11"/>
      <c r="H83" s="11"/>
      <c r="I83" s="11"/>
      <c r="J83" s="11"/>
      <c r="K83" s="11"/>
      <c r="L83" s="11"/>
      <c r="M83" s="11"/>
      <c r="N83" s="7" t="s">
        <v>146</v>
      </c>
      <c r="O83" s="7" t="s">
        <v>146</v>
      </c>
      <c r="P83" s="7" t="s">
        <v>146</v>
      </c>
      <c r="Q83" s="7" t="s">
        <v>146</v>
      </c>
      <c r="R83" s="7" t="s">
        <v>146</v>
      </c>
      <c r="S83" s="7" t="s">
        <v>146</v>
      </c>
      <c r="T83" s="7" t="s">
        <v>146</v>
      </c>
      <c r="U83" s="7" t="s">
        <v>146</v>
      </c>
      <c r="V83" s="7" t="s">
        <v>146</v>
      </c>
      <c r="W83" s="7" t="s">
        <v>146</v>
      </c>
      <c r="X83" s="7" t="s">
        <v>146</v>
      </c>
      <c r="Y83" s="7" t="s">
        <v>146</v>
      </c>
      <c r="Z83" s="7" t="s">
        <v>146</v>
      </c>
      <c r="AA83" s="7" t="s">
        <v>146</v>
      </c>
      <c r="AB83" s="7" t="s">
        <v>146</v>
      </c>
      <c r="AC83" s="7" t="s">
        <v>146</v>
      </c>
      <c r="AD83" s="7" t="s">
        <v>146</v>
      </c>
      <c r="AE83" s="7" t="s">
        <v>146</v>
      </c>
      <c r="AF83" s="7" t="s">
        <v>146</v>
      </c>
      <c r="AG83" s="7" t="s">
        <v>146</v>
      </c>
      <c r="AH83" s="7" t="s">
        <v>146</v>
      </c>
      <c r="AI83" s="7" t="s">
        <v>146</v>
      </c>
      <c r="AJ83" s="7" t="s">
        <v>146</v>
      </c>
      <c r="AK83" s="7" t="s">
        <v>146</v>
      </c>
      <c r="AL83" s="7" t="s">
        <v>146</v>
      </c>
      <c r="AM83" s="7" t="s">
        <v>146</v>
      </c>
      <c r="AN83" s="7" t="s">
        <v>146</v>
      </c>
      <c r="AO83" s="7" t="s">
        <v>146</v>
      </c>
      <c r="AP83" s="7" t="s">
        <v>146</v>
      </c>
      <c r="AQ83" s="7" t="s">
        <v>146</v>
      </c>
      <c r="AR83" s="7" t="s">
        <v>146</v>
      </c>
      <c r="AS83" s="7" t="s">
        <v>146</v>
      </c>
      <c r="AT83" s="7" t="s">
        <v>146</v>
      </c>
      <c r="AU83" s="7" t="s">
        <v>146</v>
      </c>
      <c r="AV83" s="7" t="s">
        <v>146</v>
      </c>
      <c r="AW83" s="7" t="s">
        <v>146</v>
      </c>
      <c r="AX83" s="7" t="s">
        <v>146</v>
      </c>
      <c r="AY83" s="7" t="s">
        <v>146</v>
      </c>
      <c r="AZ83" s="7" t="s">
        <v>146</v>
      </c>
      <c r="BA83" s="7" t="s">
        <v>146</v>
      </c>
      <c r="BB83" s="7" t="s">
        <v>146</v>
      </c>
      <c r="BC83" s="7" t="s">
        <v>146</v>
      </c>
      <c r="BD83" s="7" t="s">
        <v>146</v>
      </c>
      <c r="BE83" s="7" t="s">
        <v>146</v>
      </c>
    </row>
    <row r="84" spans="1:57" ht="28.05" customHeight="1" x14ac:dyDescent="0.3">
      <c r="A84" s="34" t="s">
        <v>315</v>
      </c>
      <c r="B84" s="34"/>
      <c r="C84" s="34"/>
      <c r="D84" s="34"/>
      <c r="E84" s="3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 ht="25.05" customHeight="1" x14ac:dyDescent="0.3">
      <c r="A85" s="35" t="s">
        <v>316</v>
      </c>
      <c r="B85" s="35"/>
      <c r="C85" s="35"/>
      <c r="D85" s="36" t="s">
        <v>317</v>
      </c>
      <c r="E85" s="3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</row>
    <row r="86" spans="1:57" ht="22.05" customHeight="1" x14ac:dyDescent="0.3">
      <c r="A86" s="5">
        <v>61</v>
      </c>
      <c r="B86" s="5" t="s">
        <v>142</v>
      </c>
      <c r="C86" s="6" t="s">
        <v>318</v>
      </c>
      <c r="D86" s="6" t="s">
        <v>319</v>
      </c>
      <c r="E86" s="5" t="s">
        <v>320</v>
      </c>
      <c r="F86" s="8"/>
      <c r="G86" s="8"/>
      <c r="H86" s="8"/>
      <c r="I86" s="8"/>
      <c r="J86" s="7" t="s">
        <v>146</v>
      </c>
      <c r="K86" s="7" t="s">
        <v>146</v>
      </c>
      <c r="L86" s="7" t="s">
        <v>146</v>
      </c>
      <c r="M86" s="7" t="s">
        <v>146</v>
      </c>
      <c r="N86" s="8"/>
      <c r="O86" s="8"/>
      <c r="P86" s="8"/>
      <c r="Q86" s="8"/>
      <c r="R86" s="8"/>
      <c r="S86" s="7" t="s">
        <v>146</v>
      </c>
      <c r="T86" s="7" t="s">
        <v>146</v>
      </c>
      <c r="U86" s="7" t="s">
        <v>146</v>
      </c>
      <c r="V86" s="7" t="s">
        <v>146</v>
      </c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</row>
    <row r="87" spans="1:57" ht="22.05" customHeight="1" x14ac:dyDescent="0.3">
      <c r="A87" s="9">
        <v>62</v>
      </c>
      <c r="B87" s="9" t="s">
        <v>147</v>
      </c>
      <c r="C87" s="10" t="s">
        <v>321</v>
      </c>
      <c r="D87" s="10" t="s">
        <v>322</v>
      </c>
      <c r="E87" s="9" t="s">
        <v>145</v>
      </c>
      <c r="F87" s="11"/>
      <c r="G87" s="11"/>
      <c r="H87" s="11"/>
      <c r="I87" s="11"/>
      <c r="J87" s="7" t="s">
        <v>146</v>
      </c>
      <c r="K87" s="7" t="s">
        <v>146</v>
      </c>
      <c r="L87" s="7" t="s">
        <v>146</v>
      </c>
      <c r="M87" s="7" t="s">
        <v>146</v>
      </c>
      <c r="N87" s="11"/>
      <c r="O87" s="11"/>
      <c r="P87" s="11"/>
      <c r="Q87" s="11"/>
      <c r="R87" s="11"/>
      <c r="S87" s="7" t="s">
        <v>146</v>
      </c>
      <c r="T87" s="7" t="s">
        <v>146</v>
      </c>
      <c r="U87" s="7" t="s">
        <v>146</v>
      </c>
      <c r="V87" s="7" t="s">
        <v>146</v>
      </c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</row>
    <row r="88" spans="1:57" ht="22.05" customHeight="1" x14ac:dyDescent="0.3">
      <c r="A88" s="5">
        <v>63</v>
      </c>
      <c r="B88" s="5" t="s">
        <v>151</v>
      </c>
      <c r="C88" s="6" t="s">
        <v>323</v>
      </c>
      <c r="D88" s="6" t="s">
        <v>324</v>
      </c>
      <c r="E88" s="5" t="s">
        <v>145</v>
      </c>
      <c r="F88" s="8"/>
      <c r="G88" s="8"/>
      <c r="H88" s="8"/>
      <c r="I88" s="8"/>
      <c r="J88" s="7" t="s">
        <v>146</v>
      </c>
      <c r="K88" s="7" t="s">
        <v>146</v>
      </c>
      <c r="L88" s="7" t="s">
        <v>146</v>
      </c>
      <c r="M88" s="7" t="s">
        <v>146</v>
      </c>
      <c r="N88" s="8"/>
      <c r="O88" s="8"/>
      <c r="P88" s="8"/>
      <c r="Q88" s="8"/>
      <c r="R88" s="8"/>
      <c r="S88" s="7" t="s">
        <v>146</v>
      </c>
      <c r="T88" s="7" t="s">
        <v>146</v>
      </c>
      <c r="U88" s="7" t="s">
        <v>146</v>
      </c>
      <c r="V88" s="7" t="s">
        <v>146</v>
      </c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</row>
    <row r="89" spans="1:57" ht="22.05" customHeight="1" x14ac:dyDescent="0.3">
      <c r="A89" s="9">
        <v>64</v>
      </c>
      <c r="B89" s="9" t="s">
        <v>154</v>
      </c>
      <c r="C89" s="10" t="s">
        <v>325</v>
      </c>
      <c r="D89" s="10" t="s">
        <v>326</v>
      </c>
      <c r="E89" s="9" t="s">
        <v>320</v>
      </c>
      <c r="F89" s="11"/>
      <c r="G89" s="11"/>
      <c r="H89" s="11"/>
      <c r="I89" s="11"/>
      <c r="J89" s="7" t="s">
        <v>146</v>
      </c>
      <c r="K89" s="7" t="s">
        <v>146</v>
      </c>
      <c r="L89" s="7" t="s">
        <v>146</v>
      </c>
      <c r="M89" s="7" t="s">
        <v>146</v>
      </c>
      <c r="N89" s="7" t="s">
        <v>146</v>
      </c>
      <c r="O89" s="7" t="s">
        <v>146</v>
      </c>
      <c r="P89" s="7" t="s">
        <v>146</v>
      </c>
      <c r="Q89" s="7" t="s">
        <v>146</v>
      </c>
      <c r="R89" s="7" t="s">
        <v>146</v>
      </c>
      <c r="S89" s="7" t="s">
        <v>146</v>
      </c>
      <c r="T89" s="7" t="s">
        <v>146</v>
      </c>
      <c r="U89" s="7" t="s">
        <v>146</v>
      </c>
      <c r="V89" s="7" t="s">
        <v>146</v>
      </c>
      <c r="W89" s="7" t="s">
        <v>146</v>
      </c>
      <c r="X89" s="7" t="s">
        <v>146</v>
      </c>
      <c r="Y89" s="7" t="s">
        <v>146</v>
      </c>
      <c r="Z89" s="7" t="s">
        <v>146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</row>
    <row r="90" spans="1:57" ht="28.05" customHeight="1" x14ac:dyDescent="0.3">
      <c r="A90" s="34" t="s">
        <v>327</v>
      </c>
      <c r="B90" s="34"/>
      <c r="C90" s="34"/>
      <c r="D90" s="34"/>
      <c r="E90" s="3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 ht="25.05" customHeight="1" x14ac:dyDescent="0.3">
      <c r="A91" s="35" t="s">
        <v>328</v>
      </c>
      <c r="B91" s="35"/>
      <c r="C91" s="35"/>
      <c r="D91" s="36" t="s">
        <v>329</v>
      </c>
      <c r="E91" s="3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</row>
    <row r="92" spans="1:57" ht="22.05" customHeight="1" x14ac:dyDescent="0.3">
      <c r="A92" s="5">
        <v>65</v>
      </c>
      <c r="B92" s="5" t="s">
        <v>142</v>
      </c>
      <c r="C92" s="6" t="s">
        <v>330</v>
      </c>
      <c r="D92" s="6" t="s">
        <v>331</v>
      </c>
      <c r="E92" s="5" t="s">
        <v>332</v>
      </c>
      <c r="F92" s="8"/>
      <c r="G92" s="8"/>
      <c r="H92" s="8"/>
      <c r="I92" s="8"/>
      <c r="J92" s="8"/>
      <c r="K92" s="8"/>
      <c r="L92" s="8"/>
      <c r="M92" s="8"/>
      <c r="N92" s="7" t="s">
        <v>146</v>
      </c>
      <c r="O92" s="7" t="s">
        <v>146</v>
      </c>
      <c r="P92" s="7" t="s">
        <v>146</v>
      </c>
      <c r="Q92" s="7" t="s">
        <v>146</v>
      </c>
      <c r="R92" s="7" t="s">
        <v>146</v>
      </c>
      <c r="S92" s="7" t="s">
        <v>146</v>
      </c>
      <c r="T92" s="7" t="s">
        <v>146</v>
      </c>
      <c r="U92" s="7" t="s">
        <v>146</v>
      </c>
      <c r="V92" s="7" t="s">
        <v>146</v>
      </c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</row>
    <row r="93" spans="1:57" ht="22.05" customHeight="1" x14ac:dyDescent="0.3">
      <c r="A93" s="9">
        <v>66</v>
      </c>
      <c r="B93" s="9" t="s">
        <v>147</v>
      </c>
      <c r="C93" s="10" t="s">
        <v>333</v>
      </c>
      <c r="D93" s="10" t="s">
        <v>334</v>
      </c>
      <c r="E93" s="9" t="s">
        <v>335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7" t="s">
        <v>146</v>
      </c>
      <c r="T93" s="7" t="s">
        <v>146</v>
      </c>
      <c r="U93" s="7" t="s">
        <v>146</v>
      </c>
      <c r="V93" s="7" t="s">
        <v>146</v>
      </c>
      <c r="W93" s="7" t="s">
        <v>146</v>
      </c>
      <c r="X93" s="7" t="s">
        <v>146</v>
      </c>
      <c r="Y93" s="7" t="s">
        <v>146</v>
      </c>
      <c r="Z93" s="7" t="s">
        <v>146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</row>
    <row r="94" spans="1:57" ht="22.05" customHeight="1" x14ac:dyDescent="0.3">
      <c r="A94" s="5">
        <v>67</v>
      </c>
      <c r="B94" s="5" t="s">
        <v>151</v>
      </c>
      <c r="C94" s="6" t="s">
        <v>336</v>
      </c>
      <c r="D94" s="6" t="s">
        <v>337</v>
      </c>
      <c r="E94" s="5" t="s">
        <v>275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7" t="s">
        <v>146</v>
      </c>
      <c r="AK94" s="7" t="s">
        <v>146</v>
      </c>
      <c r="AL94" s="7" t="s">
        <v>146</v>
      </c>
      <c r="AM94" s="7" t="s">
        <v>146</v>
      </c>
      <c r="AN94" s="7" t="s">
        <v>146</v>
      </c>
      <c r="AO94" s="7" t="s">
        <v>146</v>
      </c>
      <c r="AP94" s="7" t="s">
        <v>146</v>
      </c>
      <c r="AQ94" s="7" t="s">
        <v>146</v>
      </c>
      <c r="AR94" s="7" t="s">
        <v>146</v>
      </c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</row>
    <row r="95" spans="1:57" ht="22.05" customHeight="1" x14ac:dyDescent="0.3">
      <c r="A95" s="9">
        <v>68</v>
      </c>
      <c r="B95" s="9" t="s">
        <v>154</v>
      </c>
      <c r="C95" s="10" t="s">
        <v>282</v>
      </c>
      <c r="D95" s="10" t="s">
        <v>338</v>
      </c>
      <c r="E95" s="9" t="s">
        <v>275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7" t="s">
        <v>146</v>
      </c>
      <c r="AP95" s="7" t="s">
        <v>146</v>
      </c>
      <c r="AQ95" s="7" t="s">
        <v>146</v>
      </c>
      <c r="AR95" s="7" t="s">
        <v>146</v>
      </c>
      <c r="AS95" s="7" t="s">
        <v>146</v>
      </c>
      <c r="AT95" s="7" t="s">
        <v>146</v>
      </c>
      <c r="AU95" s="7" t="s">
        <v>146</v>
      </c>
      <c r="AV95" s="7" t="s">
        <v>146</v>
      </c>
      <c r="AW95" s="7" t="s">
        <v>146</v>
      </c>
      <c r="AX95" s="7" t="s">
        <v>146</v>
      </c>
      <c r="AY95" s="7" t="s">
        <v>146</v>
      </c>
      <c r="AZ95" s="7" t="s">
        <v>146</v>
      </c>
      <c r="BA95" s="7" t="s">
        <v>146</v>
      </c>
      <c r="BB95" s="7" t="s">
        <v>146</v>
      </c>
      <c r="BC95" s="7" t="s">
        <v>146</v>
      </c>
      <c r="BD95" s="7" t="s">
        <v>146</v>
      </c>
      <c r="BE95" s="7" t="s">
        <v>146</v>
      </c>
    </row>
    <row r="96" spans="1:57" ht="25.05" customHeight="1" x14ac:dyDescent="0.3">
      <c r="A96" s="35" t="s">
        <v>339</v>
      </c>
      <c r="B96" s="35"/>
      <c r="C96" s="35"/>
      <c r="D96" s="36" t="s">
        <v>340</v>
      </c>
      <c r="E96" s="3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</row>
    <row r="97" spans="1:57" ht="22.05" customHeight="1" x14ac:dyDescent="0.3">
      <c r="A97" s="5">
        <v>69</v>
      </c>
      <c r="B97" s="5" t="s">
        <v>142</v>
      </c>
      <c r="C97" s="6" t="s">
        <v>341</v>
      </c>
      <c r="D97" s="6" t="s">
        <v>342</v>
      </c>
      <c r="E97" s="5" t="s">
        <v>190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7" t="s">
        <v>146</v>
      </c>
      <c r="AK97" s="7" t="s">
        <v>146</v>
      </c>
      <c r="AL97" s="7" t="s">
        <v>146</v>
      </c>
      <c r="AM97" s="7" t="s">
        <v>146</v>
      </c>
      <c r="AN97" s="7" t="s">
        <v>146</v>
      </c>
      <c r="AO97" s="7" t="s">
        <v>146</v>
      </c>
      <c r="AP97" s="7" t="s">
        <v>146</v>
      </c>
      <c r="AQ97" s="7" t="s">
        <v>146</v>
      </c>
      <c r="AR97" s="7" t="s">
        <v>146</v>
      </c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</row>
    <row r="98" spans="1:57" ht="22.05" customHeight="1" x14ac:dyDescent="0.3">
      <c r="A98" s="9">
        <v>70</v>
      </c>
      <c r="B98" s="9" t="s">
        <v>147</v>
      </c>
      <c r="C98" s="10" t="s">
        <v>343</v>
      </c>
      <c r="D98" s="10" t="s">
        <v>344</v>
      </c>
      <c r="E98" s="9" t="s">
        <v>275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7" t="s">
        <v>146</v>
      </c>
      <c r="AP98" s="7" t="s">
        <v>146</v>
      </c>
      <c r="AQ98" s="7" t="s">
        <v>146</v>
      </c>
      <c r="AR98" s="7" t="s">
        <v>146</v>
      </c>
      <c r="AS98" s="7" t="s">
        <v>146</v>
      </c>
      <c r="AT98" s="7" t="s">
        <v>146</v>
      </c>
      <c r="AU98" s="7" t="s">
        <v>146</v>
      </c>
      <c r="AV98" s="7" t="s">
        <v>146</v>
      </c>
      <c r="AW98" s="11"/>
      <c r="AX98" s="11"/>
      <c r="AY98" s="11"/>
      <c r="AZ98" s="11"/>
      <c r="BA98" s="11"/>
      <c r="BB98" s="11"/>
      <c r="BC98" s="11"/>
      <c r="BD98" s="11"/>
      <c r="BE98" s="11"/>
    </row>
    <row r="99" spans="1:57" ht="22.05" customHeight="1" x14ac:dyDescent="0.3">
      <c r="A99" s="5">
        <v>71</v>
      </c>
      <c r="B99" s="5" t="s">
        <v>151</v>
      </c>
      <c r="C99" s="6" t="s">
        <v>345</v>
      </c>
      <c r="D99" s="6" t="s">
        <v>346</v>
      </c>
      <c r="E99" s="5" t="s">
        <v>275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7" t="s">
        <v>146</v>
      </c>
      <c r="AP99" s="7" t="s">
        <v>146</v>
      </c>
      <c r="AQ99" s="7" t="s">
        <v>146</v>
      </c>
      <c r="AR99" s="7" t="s">
        <v>146</v>
      </c>
      <c r="AS99" s="7" t="s">
        <v>146</v>
      </c>
      <c r="AT99" s="7" t="s">
        <v>146</v>
      </c>
      <c r="AU99" s="7" t="s">
        <v>146</v>
      </c>
      <c r="AV99" s="7" t="s">
        <v>146</v>
      </c>
      <c r="AW99" s="8"/>
      <c r="AX99" s="8"/>
      <c r="AY99" s="8"/>
      <c r="AZ99" s="8"/>
      <c r="BA99" s="8"/>
      <c r="BB99" s="8"/>
      <c r="BC99" s="8"/>
      <c r="BD99" s="8"/>
      <c r="BE99" s="8"/>
    </row>
    <row r="100" spans="1:57" ht="22.05" customHeight="1" x14ac:dyDescent="0.3">
      <c r="A100" s="9">
        <v>72</v>
      </c>
      <c r="B100" s="9" t="s">
        <v>154</v>
      </c>
      <c r="C100" s="10" t="s">
        <v>347</v>
      </c>
      <c r="D100" s="10" t="s">
        <v>348</v>
      </c>
      <c r="E100" s="9" t="s">
        <v>150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7" t="s">
        <v>146</v>
      </c>
      <c r="AT100" s="7" t="s">
        <v>146</v>
      </c>
      <c r="AU100" s="7" t="s">
        <v>146</v>
      </c>
      <c r="AV100" s="7" t="s">
        <v>146</v>
      </c>
      <c r="AW100" s="7" t="s">
        <v>146</v>
      </c>
      <c r="AX100" s="7" t="s">
        <v>146</v>
      </c>
      <c r="AY100" s="7" t="s">
        <v>146</v>
      </c>
      <c r="AZ100" s="7" t="s">
        <v>146</v>
      </c>
      <c r="BA100" s="7" t="s">
        <v>146</v>
      </c>
      <c r="BB100" s="11"/>
      <c r="BC100" s="11"/>
      <c r="BD100" s="11"/>
      <c r="BE100" s="11"/>
    </row>
    <row r="101" spans="1:57" ht="25.05" customHeight="1" x14ac:dyDescent="0.3">
      <c r="A101" s="35" t="s">
        <v>349</v>
      </c>
      <c r="B101" s="35"/>
      <c r="C101" s="35"/>
      <c r="D101" s="36" t="s">
        <v>350</v>
      </c>
      <c r="E101" s="3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</row>
    <row r="102" spans="1:57" ht="22.05" customHeight="1" x14ac:dyDescent="0.3">
      <c r="A102" s="5">
        <v>73</v>
      </c>
      <c r="B102" s="5" t="s">
        <v>142</v>
      </c>
      <c r="C102" s="6" t="s">
        <v>351</v>
      </c>
      <c r="D102" s="6" t="s">
        <v>352</v>
      </c>
      <c r="E102" s="5" t="s">
        <v>150</v>
      </c>
      <c r="F102" s="8"/>
      <c r="G102" s="8"/>
      <c r="H102" s="8"/>
      <c r="I102" s="8"/>
      <c r="J102" s="7" t="s">
        <v>146</v>
      </c>
      <c r="K102" s="7" t="s">
        <v>146</v>
      </c>
      <c r="L102" s="7" t="s">
        <v>146</v>
      </c>
      <c r="M102" s="7" t="s">
        <v>146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</row>
    <row r="103" spans="1:57" ht="22.05" customHeight="1" x14ac:dyDescent="0.3">
      <c r="A103" s="9">
        <v>74</v>
      </c>
      <c r="B103" s="9" t="s">
        <v>147</v>
      </c>
      <c r="C103" s="10" t="s">
        <v>353</v>
      </c>
      <c r="D103" s="10" t="s">
        <v>354</v>
      </c>
      <c r="E103" s="9" t="s">
        <v>150</v>
      </c>
      <c r="F103" s="11"/>
      <c r="G103" s="11"/>
      <c r="H103" s="11"/>
      <c r="I103" s="11"/>
      <c r="J103" s="7" t="s">
        <v>146</v>
      </c>
      <c r="K103" s="7" t="s">
        <v>146</v>
      </c>
      <c r="L103" s="7" t="s">
        <v>146</v>
      </c>
      <c r="M103" s="7" t="s">
        <v>146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</row>
    <row r="104" spans="1:57" ht="22.05" customHeight="1" x14ac:dyDescent="0.3">
      <c r="A104" s="5">
        <v>75</v>
      </c>
      <c r="B104" s="5" t="s">
        <v>151</v>
      </c>
      <c r="C104" s="6" t="s">
        <v>355</v>
      </c>
      <c r="D104" s="6" t="s">
        <v>356</v>
      </c>
      <c r="E104" s="5" t="s">
        <v>145</v>
      </c>
      <c r="F104" s="8"/>
      <c r="G104" s="8"/>
      <c r="H104" s="8"/>
      <c r="I104" s="8"/>
      <c r="J104" s="7" t="s">
        <v>146</v>
      </c>
      <c r="K104" s="7" t="s">
        <v>146</v>
      </c>
      <c r="L104" s="7" t="s">
        <v>146</v>
      </c>
      <c r="M104" s="7" t="s">
        <v>146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</row>
    <row r="105" spans="1:57" ht="22.05" customHeight="1" x14ac:dyDescent="0.3">
      <c r="A105" s="9">
        <v>76</v>
      </c>
      <c r="B105" s="9" t="s">
        <v>154</v>
      </c>
      <c r="C105" s="10" t="s">
        <v>357</v>
      </c>
      <c r="D105" s="10" t="s">
        <v>358</v>
      </c>
      <c r="E105" s="9" t="s">
        <v>145</v>
      </c>
      <c r="F105" s="11"/>
      <c r="G105" s="11"/>
      <c r="H105" s="11"/>
      <c r="I105" s="11"/>
      <c r="J105" s="7" t="s">
        <v>146</v>
      </c>
      <c r="K105" s="7" t="s">
        <v>146</v>
      </c>
      <c r="L105" s="7" t="s">
        <v>146</v>
      </c>
      <c r="M105" s="7" t="s">
        <v>146</v>
      </c>
      <c r="N105" s="7" t="s">
        <v>146</v>
      </c>
      <c r="O105" s="7" t="s">
        <v>146</v>
      </c>
      <c r="P105" s="7" t="s">
        <v>146</v>
      </c>
      <c r="Q105" s="7" t="s">
        <v>146</v>
      </c>
      <c r="R105" s="7" t="s">
        <v>146</v>
      </c>
      <c r="S105" s="7" t="s">
        <v>146</v>
      </c>
      <c r="T105" s="7" t="s">
        <v>146</v>
      </c>
      <c r="U105" s="7" t="s">
        <v>146</v>
      </c>
      <c r="V105" s="7" t="s">
        <v>146</v>
      </c>
      <c r="W105" s="7" t="s">
        <v>146</v>
      </c>
      <c r="X105" s="7" t="s">
        <v>146</v>
      </c>
      <c r="Y105" s="7" t="s">
        <v>146</v>
      </c>
      <c r="Z105" s="7" t="s">
        <v>146</v>
      </c>
      <c r="AA105" s="7" t="s">
        <v>146</v>
      </c>
      <c r="AB105" s="7" t="s">
        <v>146</v>
      </c>
      <c r="AC105" s="7" t="s">
        <v>146</v>
      </c>
      <c r="AD105" s="7" t="s">
        <v>146</v>
      </c>
      <c r="AE105" s="7" t="s">
        <v>146</v>
      </c>
      <c r="AF105" s="7" t="s">
        <v>146</v>
      </c>
      <c r="AG105" s="7" t="s">
        <v>146</v>
      </c>
      <c r="AH105" s="7" t="s">
        <v>146</v>
      </c>
      <c r="AI105" s="7" t="s">
        <v>146</v>
      </c>
      <c r="AJ105" s="7" t="s">
        <v>146</v>
      </c>
      <c r="AK105" s="7" t="s">
        <v>146</v>
      </c>
      <c r="AL105" s="7" t="s">
        <v>146</v>
      </c>
      <c r="AM105" s="7" t="s">
        <v>146</v>
      </c>
      <c r="AN105" s="7" t="s">
        <v>146</v>
      </c>
      <c r="AO105" s="7" t="s">
        <v>146</v>
      </c>
      <c r="AP105" s="7" t="s">
        <v>146</v>
      </c>
      <c r="AQ105" s="7" t="s">
        <v>146</v>
      </c>
      <c r="AR105" s="7" t="s">
        <v>146</v>
      </c>
      <c r="AS105" s="7" t="s">
        <v>146</v>
      </c>
      <c r="AT105" s="7" t="s">
        <v>146</v>
      </c>
      <c r="AU105" s="7" t="s">
        <v>146</v>
      </c>
      <c r="AV105" s="7" t="s">
        <v>146</v>
      </c>
      <c r="AW105" s="7" t="s">
        <v>146</v>
      </c>
      <c r="AX105" s="7" t="s">
        <v>146</v>
      </c>
      <c r="AY105" s="7" t="s">
        <v>146</v>
      </c>
      <c r="AZ105" s="7" t="s">
        <v>146</v>
      </c>
      <c r="BA105" s="7" t="s">
        <v>146</v>
      </c>
      <c r="BB105" s="7" t="s">
        <v>146</v>
      </c>
      <c r="BC105" s="7" t="s">
        <v>146</v>
      </c>
      <c r="BD105" s="7" t="s">
        <v>146</v>
      </c>
      <c r="BE105" s="7" t="s">
        <v>146</v>
      </c>
    </row>
    <row r="106" spans="1:57" ht="22.05" customHeight="1" x14ac:dyDescent="0.3">
      <c r="A106" s="5">
        <v>77</v>
      </c>
      <c r="B106" s="5" t="s">
        <v>167</v>
      </c>
      <c r="C106" s="6" t="s">
        <v>359</v>
      </c>
      <c r="D106" s="6" t="s">
        <v>360</v>
      </c>
      <c r="E106" s="5" t="s">
        <v>145</v>
      </c>
      <c r="F106" s="8"/>
      <c r="G106" s="8"/>
      <c r="H106" s="8"/>
      <c r="I106" s="8"/>
      <c r="J106" s="8"/>
      <c r="K106" s="8"/>
      <c r="L106" s="8"/>
      <c r="M106" s="8"/>
      <c r="N106" s="7" t="s">
        <v>146</v>
      </c>
      <c r="O106" s="7" t="s">
        <v>146</v>
      </c>
      <c r="P106" s="7" t="s">
        <v>146</v>
      </c>
      <c r="Q106" s="7" t="s">
        <v>146</v>
      </c>
      <c r="R106" s="7" t="s">
        <v>146</v>
      </c>
      <c r="S106" s="7" t="s">
        <v>146</v>
      </c>
      <c r="T106" s="7" t="s">
        <v>146</v>
      </c>
      <c r="U106" s="7" t="s">
        <v>146</v>
      </c>
      <c r="V106" s="7" t="s">
        <v>146</v>
      </c>
      <c r="W106" s="7" t="s">
        <v>146</v>
      </c>
      <c r="X106" s="7" t="s">
        <v>146</v>
      </c>
      <c r="Y106" s="7" t="s">
        <v>146</v>
      </c>
      <c r="Z106" s="7" t="s">
        <v>146</v>
      </c>
      <c r="AA106" s="7" t="s">
        <v>146</v>
      </c>
      <c r="AB106" s="7" t="s">
        <v>146</v>
      </c>
      <c r="AC106" s="7" t="s">
        <v>146</v>
      </c>
      <c r="AD106" s="7" t="s">
        <v>146</v>
      </c>
      <c r="AE106" s="7" t="s">
        <v>146</v>
      </c>
      <c r="AF106" s="7" t="s">
        <v>146</v>
      </c>
      <c r="AG106" s="7" t="s">
        <v>146</v>
      </c>
      <c r="AH106" s="7" t="s">
        <v>146</v>
      </c>
      <c r="AI106" s="7" t="s">
        <v>146</v>
      </c>
      <c r="AJ106" s="7" t="s">
        <v>146</v>
      </c>
      <c r="AK106" s="7" t="s">
        <v>146</v>
      </c>
      <c r="AL106" s="7" t="s">
        <v>146</v>
      </c>
      <c r="AM106" s="7" t="s">
        <v>146</v>
      </c>
      <c r="AN106" s="7" t="s">
        <v>146</v>
      </c>
      <c r="AO106" s="7" t="s">
        <v>146</v>
      </c>
      <c r="AP106" s="7" t="s">
        <v>146</v>
      </c>
      <c r="AQ106" s="7" t="s">
        <v>146</v>
      </c>
      <c r="AR106" s="7" t="s">
        <v>146</v>
      </c>
      <c r="AS106" s="7" t="s">
        <v>146</v>
      </c>
      <c r="AT106" s="7" t="s">
        <v>146</v>
      </c>
      <c r="AU106" s="7" t="s">
        <v>146</v>
      </c>
      <c r="AV106" s="7" t="s">
        <v>146</v>
      </c>
      <c r="AW106" s="7" t="s">
        <v>146</v>
      </c>
      <c r="AX106" s="7" t="s">
        <v>146</v>
      </c>
      <c r="AY106" s="7" t="s">
        <v>146</v>
      </c>
      <c r="AZ106" s="7" t="s">
        <v>146</v>
      </c>
      <c r="BA106" s="7" t="s">
        <v>146</v>
      </c>
      <c r="BB106" s="7" t="s">
        <v>146</v>
      </c>
      <c r="BC106" s="7" t="s">
        <v>146</v>
      </c>
      <c r="BD106" s="7" t="s">
        <v>146</v>
      </c>
      <c r="BE106" s="7" t="s">
        <v>146</v>
      </c>
    </row>
    <row r="108" spans="1:57" x14ac:dyDescent="0.3">
      <c r="B108" s="3" t="s">
        <v>361</v>
      </c>
      <c r="C108" s="3"/>
    </row>
    <row r="109" spans="1:57" x14ac:dyDescent="0.3">
      <c r="B109" s="7" t="s">
        <v>146</v>
      </c>
      <c r="C109" s="6" t="s">
        <v>362</v>
      </c>
    </row>
  </sheetData>
  <mergeCells count="57">
    <mergeCell ref="A101:C101"/>
    <mergeCell ref="D101:E101"/>
    <mergeCell ref="A90:E90"/>
    <mergeCell ref="A91:C91"/>
    <mergeCell ref="D91:E91"/>
    <mergeCell ref="A96:C96"/>
    <mergeCell ref="D96:E96"/>
    <mergeCell ref="A81:C81"/>
    <mergeCell ref="D81:E81"/>
    <mergeCell ref="A84:E84"/>
    <mergeCell ref="A85:C85"/>
    <mergeCell ref="D85:E85"/>
    <mergeCell ref="A70:E70"/>
    <mergeCell ref="A71:C71"/>
    <mergeCell ref="D71:E71"/>
    <mergeCell ref="A76:C76"/>
    <mergeCell ref="D76:E76"/>
    <mergeCell ref="A58:C58"/>
    <mergeCell ref="D58:E58"/>
    <mergeCell ref="A63:E63"/>
    <mergeCell ref="A64:C64"/>
    <mergeCell ref="D64:E64"/>
    <mergeCell ref="A46:C46"/>
    <mergeCell ref="D46:E46"/>
    <mergeCell ref="A50:C50"/>
    <mergeCell ref="D50:E50"/>
    <mergeCell ref="A57:E57"/>
    <mergeCell ref="A29:C29"/>
    <mergeCell ref="D29:E29"/>
    <mergeCell ref="A35:C35"/>
    <mergeCell ref="D35:E35"/>
    <mergeCell ref="A42:C42"/>
    <mergeCell ref="D42:E42"/>
    <mergeCell ref="A17:C17"/>
    <mergeCell ref="D17:E17"/>
    <mergeCell ref="A23:C23"/>
    <mergeCell ref="D23:E23"/>
    <mergeCell ref="A28:E28"/>
    <mergeCell ref="A5:E5"/>
    <mergeCell ref="A6:C6"/>
    <mergeCell ref="D6:E6"/>
    <mergeCell ref="A11:C11"/>
    <mergeCell ref="D11:E11"/>
    <mergeCell ref="A1:BE1"/>
    <mergeCell ref="A2:E2"/>
    <mergeCell ref="F2:I2"/>
    <mergeCell ref="J2:M2"/>
    <mergeCell ref="N2:R2"/>
    <mergeCell ref="S2:V2"/>
    <mergeCell ref="W2:Z2"/>
    <mergeCell ref="AA2:AE2"/>
    <mergeCell ref="AF2:AI2"/>
    <mergeCell ref="AJ2:AN2"/>
    <mergeCell ref="AO2:AR2"/>
    <mergeCell ref="AS2:AV2"/>
    <mergeCell ref="AW2:BA2"/>
    <mergeCell ref="BB2:BE2"/>
  </mergeCell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090"/>
  </sheetPr>
  <dimension ref="A1:AP85"/>
  <sheetViews>
    <sheetView showGridLines="0" zoomScale="80" zoomScaleNormal="8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9" sqref="H9"/>
    </sheetView>
  </sheetViews>
  <sheetFormatPr baseColWidth="10" defaultColWidth="8.88671875" defaultRowHeight="14.4" x14ac:dyDescent="0.3"/>
  <cols>
    <col min="1" max="1" width="4.6640625" customWidth="1"/>
    <col min="2" max="2" width="10.6640625" customWidth="1"/>
    <col min="3" max="3" width="8.6640625" customWidth="1"/>
    <col min="4" max="4" width="42.6640625" customWidth="1"/>
    <col min="5" max="5" width="30.6640625" customWidth="1"/>
    <col min="6" max="6" width="20.44140625" customWidth="1"/>
    <col min="7" max="7" width="11.6640625" customWidth="1"/>
    <col min="8" max="8" width="12.6640625" customWidth="1"/>
    <col min="9" max="9" width="10.6640625" customWidth="1"/>
    <col min="10" max="10" width="11.6640625" customWidth="1"/>
    <col min="11" max="11" width="12.6640625" customWidth="1"/>
    <col min="12" max="12" width="10.6640625" customWidth="1"/>
    <col min="13" max="13" width="11.6640625" customWidth="1"/>
    <col min="14" max="14" width="12.6640625" customWidth="1"/>
    <col min="15" max="15" width="10.6640625" customWidth="1"/>
    <col min="16" max="16" width="11.6640625" customWidth="1"/>
    <col min="17" max="17" width="12.6640625" customWidth="1"/>
    <col min="18" max="18" width="10.6640625" customWidth="1"/>
    <col min="19" max="19" width="11.6640625" customWidth="1"/>
    <col min="20" max="20" width="12.6640625" customWidth="1"/>
    <col min="21" max="21" width="10.6640625" customWidth="1"/>
    <col min="22" max="22" width="11.6640625" customWidth="1"/>
    <col min="23" max="23" width="12.6640625" customWidth="1"/>
    <col min="24" max="24" width="10.6640625" customWidth="1"/>
    <col min="25" max="25" width="11.6640625" customWidth="1"/>
    <col min="26" max="26" width="12.6640625" customWidth="1"/>
    <col min="27" max="27" width="10.6640625" customWidth="1"/>
    <col min="28" max="28" width="11.6640625" customWidth="1"/>
    <col min="29" max="29" width="12.6640625" customWidth="1"/>
    <col min="30" max="30" width="10.6640625" customWidth="1"/>
    <col min="31" max="31" width="11.6640625" customWidth="1"/>
    <col min="32" max="32" width="12.6640625" customWidth="1"/>
    <col min="33" max="33" width="10.6640625" customWidth="1"/>
    <col min="34" max="34" width="11.6640625" customWidth="1"/>
    <col min="35" max="35" width="12.6640625" customWidth="1"/>
    <col min="36" max="36" width="10.6640625" customWidth="1"/>
    <col min="37" max="37" width="11.6640625" customWidth="1"/>
    <col min="38" max="38" width="12.6640625" customWidth="1"/>
    <col min="39" max="39" width="10.6640625" customWidth="1"/>
    <col min="40" max="40" width="11.6640625" customWidth="1"/>
    <col min="41" max="41" width="12.6640625" customWidth="1"/>
    <col min="42" max="42" width="10.6640625" customWidth="1"/>
  </cols>
  <sheetData>
    <row r="1" spans="1:42" ht="34.950000000000003" customHeight="1" x14ac:dyDescent="0.3">
      <c r="A1" s="31" t="s">
        <v>363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</row>
    <row r="2" spans="1:42" ht="22.05" customHeight="1" x14ac:dyDescent="0.3">
      <c r="G2" s="33" t="s">
        <v>364</v>
      </c>
      <c r="H2" s="33"/>
      <c r="I2" s="33"/>
      <c r="J2" s="33" t="s">
        <v>365</v>
      </c>
      <c r="K2" s="33"/>
      <c r="L2" s="33"/>
      <c r="M2" s="33" t="s">
        <v>366</v>
      </c>
      <c r="N2" s="33"/>
      <c r="O2" s="33"/>
      <c r="P2" s="33" t="s">
        <v>367</v>
      </c>
      <c r="Q2" s="33"/>
      <c r="R2" s="33"/>
      <c r="S2" s="33" t="s">
        <v>368</v>
      </c>
      <c r="T2" s="33"/>
      <c r="U2" s="33"/>
      <c r="V2" s="33" t="s">
        <v>369</v>
      </c>
      <c r="W2" s="33"/>
      <c r="X2" s="33"/>
      <c r="Y2" s="33" t="s">
        <v>370</v>
      </c>
      <c r="Z2" s="33"/>
      <c r="AA2" s="33"/>
      <c r="AB2" s="33" t="s">
        <v>371</v>
      </c>
      <c r="AC2" s="33"/>
      <c r="AD2" s="33"/>
      <c r="AE2" s="33" t="s">
        <v>372</v>
      </c>
      <c r="AF2" s="33"/>
      <c r="AG2" s="33"/>
      <c r="AH2" s="33" t="s">
        <v>373</v>
      </c>
      <c r="AI2" s="33"/>
      <c r="AJ2" s="33"/>
      <c r="AK2" s="33" t="s">
        <v>374</v>
      </c>
      <c r="AL2" s="33"/>
      <c r="AM2" s="33"/>
      <c r="AN2" s="33" t="s">
        <v>375</v>
      </c>
      <c r="AO2" s="33"/>
      <c r="AP2" s="33"/>
    </row>
    <row r="3" spans="1:42" ht="19.95" customHeight="1" x14ac:dyDescent="0.3">
      <c r="A3" s="1" t="s">
        <v>30</v>
      </c>
      <c r="B3" s="1" t="s">
        <v>376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377</v>
      </c>
      <c r="H3" s="1" t="s">
        <v>378</v>
      </c>
      <c r="I3" s="1" t="s">
        <v>379</v>
      </c>
      <c r="J3" s="1" t="s">
        <v>377</v>
      </c>
      <c r="K3" s="1" t="s">
        <v>378</v>
      </c>
      <c r="L3" s="1" t="s">
        <v>379</v>
      </c>
      <c r="M3" s="1" t="s">
        <v>377</v>
      </c>
      <c r="N3" s="1" t="s">
        <v>378</v>
      </c>
      <c r="O3" s="1" t="s">
        <v>379</v>
      </c>
      <c r="P3" s="1" t="s">
        <v>377</v>
      </c>
      <c r="Q3" s="1" t="s">
        <v>378</v>
      </c>
      <c r="R3" s="1" t="s">
        <v>379</v>
      </c>
      <c r="S3" s="1" t="s">
        <v>377</v>
      </c>
      <c r="T3" s="1" t="s">
        <v>378</v>
      </c>
      <c r="U3" s="1" t="s">
        <v>379</v>
      </c>
      <c r="V3" s="1" t="s">
        <v>377</v>
      </c>
      <c r="W3" s="1" t="s">
        <v>378</v>
      </c>
      <c r="X3" s="1" t="s">
        <v>379</v>
      </c>
      <c r="Y3" s="1" t="s">
        <v>377</v>
      </c>
      <c r="Z3" s="1" t="s">
        <v>378</v>
      </c>
      <c r="AA3" s="1" t="s">
        <v>379</v>
      </c>
      <c r="AB3" s="1" t="s">
        <v>377</v>
      </c>
      <c r="AC3" s="1" t="s">
        <v>378</v>
      </c>
      <c r="AD3" s="1" t="s">
        <v>379</v>
      </c>
      <c r="AE3" s="1" t="s">
        <v>377</v>
      </c>
      <c r="AF3" s="1" t="s">
        <v>378</v>
      </c>
      <c r="AG3" s="1" t="s">
        <v>379</v>
      </c>
      <c r="AH3" s="1" t="s">
        <v>377</v>
      </c>
      <c r="AI3" s="1" t="s">
        <v>378</v>
      </c>
      <c r="AJ3" s="1" t="s">
        <v>379</v>
      </c>
      <c r="AK3" s="1" t="s">
        <v>377</v>
      </c>
      <c r="AL3" s="1" t="s">
        <v>378</v>
      </c>
      <c r="AM3" s="1" t="s">
        <v>379</v>
      </c>
      <c r="AN3" s="1" t="s">
        <v>377</v>
      </c>
      <c r="AO3" s="1" t="s">
        <v>378</v>
      </c>
      <c r="AP3" s="1" t="s">
        <v>379</v>
      </c>
    </row>
    <row r="4" spans="1:42" ht="16.05" customHeight="1" x14ac:dyDescent="0.3">
      <c r="A4" s="1"/>
      <c r="B4" s="1"/>
      <c r="C4" s="1"/>
      <c r="D4" s="1"/>
      <c r="E4" s="1"/>
      <c r="F4" s="1"/>
      <c r="G4" s="1" t="s">
        <v>380</v>
      </c>
      <c r="H4" s="1" t="s">
        <v>381</v>
      </c>
      <c r="I4" s="1" t="s">
        <v>382</v>
      </c>
      <c r="J4" s="1" t="s">
        <v>380</v>
      </c>
      <c r="K4" s="1" t="s">
        <v>381</v>
      </c>
      <c r="L4" s="1" t="s">
        <v>382</v>
      </c>
      <c r="M4" s="1" t="s">
        <v>380</v>
      </c>
      <c r="N4" s="1" t="s">
        <v>381</v>
      </c>
      <c r="O4" s="1" t="s">
        <v>382</v>
      </c>
      <c r="P4" s="1" t="s">
        <v>380</v>
      </c>
      <c r="Q4" s="1" t="s">
        <v>381</v>
      </c>
      <c r="R4" s="1" t="s">
        <v>382</v>
      </c>
      <c r="S4" s="1" t="s">
        <v>380</v>
      </c>
      <c r="T4" s="1" t="s">
        <v>381</v>
      </c>
      <c r="U4" s="1" t="s">
        <v>382</v>
      </c>
      <c r="V4" s="1" t="s">
        <v>380</v>
      </c>
      <c r="W4" s="1" t="s">
        <v>381</v>
      </c>
      <c r="X4" s="1" t="s">
        <v>382</v>
      </c>
      <c r="Y4" s="1" t="s">
        <v>380</v>
      </c>
      <c r="Z4" s="1" t="s">
        <v>381</v>
      </c>
      <c r="AA4" s="1" t="s">
        <v>382</v>
      </c>
      <c r="AB4" s="1" t="s">
        <v>380</v>
      </c>
      <c r="AC4" s="1" t="s">
        <v>381</v>
      </c>
      <c r="AD4" s="1" t="s">
        <v>382</v>
      </c>
      <c r="AE4" s="1" t="s">
        <v>380</v>
      </c>
      <c r="AF4" s="1" t="s">
        <v>381</v>
      </c>
      <c r="AG4" s="1" t="s">
        <v>382</v>
      </c>
      <c r="AH4" s="1" t="s">
        <v>380</v>
      </c>
      <c r="AI4" s="1" t="s">
        <v>381</v>
      </c>
      <c r="AJ4" s="1" t="s">
        <v>382</v>
      </c>
      <c r="AK4" s="1" t="s">
        <v>380</v>
      </c>
      <c r="AL4" s="1" t="s">
        <v>381</v>
      </c>
      <c r="AM4" s="1" t="s">
        <v>382</v>
      </c>
      <c r="AN4" s="1" t="s">
        <v>380</v>
      </c>
      <c r="AO4" s="1" t="s">
        <v>381</v>
      </c>
      <c r="AP4" s="1" t="s">
        <v>382</v>
      </c>
    </row>
    <row r="5" spans="1:42" ht="28.05" customHeight="1" x14ac:dyDescent="0.3">
      <c r="A5" s="5">
        <v>1</v>
      </c>
      <c r="B5" s="5" t="s">
        <v>383</v>
      </c>
      <c r="C5" s="5" t="s">
        <v>142</v>
      </c>
      <c r="D5" s="6" t="s">
        <v>143</v>
      </c>
      <c r="E5" s="6" t="s">
        <v>144</v>
      </c>
      <c r="F5" s="5" t="s">
        <v>145</v>
      </c>
      <c r="G5" s="12" t="s">
        <v>384</v>
      </c>
      <c r="H5" s="13" t="s">
        <v>385</v>
      </c>
      <c r="I5" s="14">
        <v>0</v>
      </c>
      <c r="J5" s="12" t="s">
        <v>384</v>
      </c>
      <c r="K5" s="13" t="s">
        <v>385</v>
      </c>
      <c r="L5" s="14">
        <v>0</v>
      </c>
      <c r="M5" s="12" t="s">
        <v>384</v>
      </c>
      <c r="N5" s="13" t="s">
        <v>385</v>
      </c>
      <c r="O5" s="14">
        <v>0</v>
      </c>
      <c r="P5" s="11" t="s">
        <v>386</v>
      </c>
      <c r="Q5" s="13" t="s">
        <v>387</v>
      </c>
      <c r="R5" s="11"/>
      <c r="S5" s="11" t="s">
        <v>386</v>
      </c>
      <c r="T5" s="13" t="s">
        <v>387</v>
      </c>
      <c r="U5" s="11"/>
      <c r="V5" s="11" t="s">
        <v>386</v>
      </c>
      <c r="W5" s="13" t="s">
        <v>387</v>
      </c>
      <c r="X5" s="11"/>
      <c r="Y5" s="11" t="s">
        <v>386</v>
      </c>
      <c r="Z5" s="13" t="s">
        <v>387</v>
      </c>
      <c r="AA5" s="11"/>
      <c r="AB5" s="11" t="s">
        <v>386</v>
      </c>
      <c r="AC5" s="13" t="s">
        <v>387</v>
      </c>
      <c r="AD5" s="11"/>
      <c r="AE5" s="11" t="s">
        <v>386</v>
      </c>
      <c r="AF5" s="13" t="s">
        <v>387</v>
      </c>
      <c r="AG5" s="11"/>
      <c r="AH5" s="11" t="s">
        <v>386</v>
      </c>
      <c r="AI5" s="13" t="s">
        <v>387</v>
      </c>
      <c r="AJ5" s="11"/>
      <c r="AK5" s="11" t="s">
        <v>386</v>
      </c>
      <c r="AL5" s="13" t="s">
        <v>387</v>
      </c>
      <c r="AM5" s="11"/>
      <c r="AN5" s="11" t="s">
        <v>386</v>
      </c>
      <c r="AO5" s="13" t="s">
        <v>387</v>
      </c>
      <c r="AP5" s="11"/>
    </row>
    <row r="6" spans="1:42" ht="28.05" customHeight="1" x14ac:dyDescent="0.3">
      <c r="A6" s="9">
        <v>2</v>
      </c>
      <c r="B6" s="9" t="s">
        <v>383</v>
      </c>
      <c r="C6" s="9" t="s">
        <v>147</v>
      </c>
      <c r="D6" s="10" t="s">
        <v>148</v>
      </c>
      <c r="E6" s="10" t="s">
        <v>149</v>
      </c>
      <c r="F6" s="9" t="s">
        <v>150</v>
      </c>
      <c r="G6" s="8" t="s">
        <v>386</v>
      </c>
      <c r="H6" s="13" t="s">
        <v>387</v>
      </c>
      <c r="I6" s="8"/>
      <c r="J6" s="12" t="s">
        <v>384</v>
      </c>
      <c r="K6" s="13" t="s">
        <v>385</v>
      </c>
      <c r="L6" s="15">
        <v>0</v>
      </c>
      <c r="M6" s="12" t="s">
        <v>384</v>
      </c>
      <c r="N6" s="13" t="s">
        <v>385</v>
      </c>
      <c r="O6" s="15">
        <v>0</v>
      </c>
      <c r="P6" s="8" t="s">
        <v>386</v>
      </c>
      <c r="Q6" s="13" t="s">
        <v>387</v>
      </c>
      <c r="R6" s="8"/>
      <c r="S6" s="8" t="s">
        <v>386</v>
      </c>
      <c r="T6" s="13" t="s">
        <v>387</v>
      </c>
      <c r="U6" s="8"/>
      <c r="V6" s="8" t="s">
        <v>386</v>
      </c>
      <c r="W6" s="13" t="s">
        <v>387</v>
      </c>
      <c r="X6" s="8"/>
      <c r="Y6" s="8" t="s">
        <v>386</v>
      </c>
      <c r="Z6" s="13" t="s">
        <v>387</v>
      </c>
      <c r="AA6" s="8"/>
      <c r="AB6" s="8" t="s">
        <v>386</v>
      </c>
      <c r="AC6" s="13" t="s">
        <v>387</v>
      </c>
      <c r="AD6" s="8"/>
      <c r="AE6" s="8" t="s">
        <v>386</v>
      </c>
      <c r="AF6" s="13" t="s">
        <v>387</v>
      </c>
      <c r="AG6" s="8"/>
      <c r="AH6" s="8" t="s">
        <v>386</v>
      </c>
      <c r="AI6" s="13" t="s">
        <v>387</v>
      </c>
      <c r="AJ6" s="8"/>
      <c r="AK6" s="8" t="s">
        <v>386</v>
      </c>
      <c r="AL6" s="13" t="s">
        <v>387</v>
      </c>
      <c r="AM6" s="8"/>
      <c r="AN6" s="8" t="s">
        <v>386</v>
      </c>
      <c r="AO6" s="13" t="s">
        <v>387</v>
      </c>
      <c r="AP6" s="8"/>
    </row>
    <row r="7" spans="1:42" ht="28.05" customHeight="1" x14ac:dyDescent="0.3">
      <c r="A7" s="5">
        <v>3</v>
      </c>
      <c r="B7" s="5" t="s">
        <v>383</v>
      </c>
      <c r="C7" s="5" t="s">
        <v>151</v>
      </c>
      <c r="D7" s="6" t="s">
        <v>152</v>
      </c>
      <c r="E7" s="6" t="s">
        <v>153</v>
      </c>
      <c r="F7" s="5" t="s">
        <v>150</v>
      </c>
      <c r="G7" s="11" t="s">
        <v>386</v>
      </c>
      <c r="H7" s="13" t="s">
        <v>387</v>
      </c>
      <c r="I7" s="11"/>
      <c r="J7" s="12" t="s">
        <v>384</v>
      </c>
      <c r="K7" s="13" t="s">
        <v>385</v>
      </c>
      <c r="L7" s="14">
        <v>0</v>
      </c>
      <c r="M7" s="12" t="s">
        <v>384</v>
      </c>
      <c r="N7" s="13" t="s">
        <v>385</v>
      </c>
      <c r="O7" s="14">
        <v>0</v>
      </c>
      <c r="P7" s="11" t="s">
        <v>386</v>
      </c>
      <c r="Q7" s="13" t="s">
        <v>387</v>
      </c>
      <c r="R7" s="11"/>
      <c r="S7" s="11" t="s">
        <v>386</v>
      </c>
      <c r="T7" s="13" t="s">
        <v>387</v>
      </c>
      <c r="U7" s="11"/>
      <c r="V7" s="11" t="s">
        <v>386</v>
      </c>
      <c r="W7" s="13" t="s">
        <v>387</v>
      </c>
      <c r="X7" s="11"/>
      <c r="Y7" s="11" t="s">
        <v>386</v>
      </c>
      <c r="Z7" s="13" t="s">
        <v>387</v>
      </c>
      <c r="AA7" s="11"/>
      <c r="AB7" s="11" t="s">
        <v>386</v>
      </c>
      <c r="AC7" s="13" t="s">
        <v>387</v>
      </c>
      <c r="AD7" s="11"/>
      <c r="AE7" s="11" t="s">
        <v>386</v>
      </c>
      <c r="AF7" s="13" t="s">
        <v>387</v>
      </c>
      <c r="AG7" s="11"/>
      <c r="AH7" s="11" t="s">
        <v>386</v>
      </c>
      <c r="AI7" s="13" t="s">
        <v>387</v>
      </c>
      <c r="AJ7" s="11"/>
      <c r="AK7" s="11" t="s">
        <v>386</v>
      </c>
      <c r="AL7" s="13" t="s">
        <v>387</v>
      </c>
      <c r="AM7" s="11"/>
      <c r="AN7" s="11" t="s">
        <v>386</v>
      </c>
      <c r="AO7" s="13" t="s">
        <v>387</v>
      </c>
      <c r="AP7" s="11"/>
    </row>
    <row r="8" spans="1:42" ht="28.05" customHeight="1" x14ac:dyDescent="0.3">
      <c r="A8" s="9">
        <v>4</v>
      </c>
      <c r="B8" s="9" t="s">
        <v>383</v>
      </c>
      <c r="C8" s="9" t="s">
        <v>154</v>
      </c>
      <c r="D8" s="10" t="s">
        <v>155</v>
      </c>
      <c r="E8" s="10" t="s">
        <v>156</v>
      </c>
      <c r="F8" s="9" t="s">
        <v>145</v>
      </c>
      <c r="G8" s="8" t="s">
        <v>386</v>
      </c>
      <c r="H8" s="13" t="s">
        <v>387</v>
      </c>
      <c r="I8" s="8"/>
      <c r="J8" s="8" t="s">
        <v>386</v>
      </c>
      <c r="K8" s="13" t="s">
        <v>387</v>
      </c>
      <c r="L8" s="8"/>
      <c r="M8" s="12" t="s">
        <v>384</v>
      </c>
      <c r="N8" s="13" t="s">
        <v>385</v>
      </c>
      <c r="O8" s="15">
        <v>0</v>
      </c>
      <c r="P8" s="12" t="s">
        <v>384</v>
      </c>
      <c r="Q8" s="13" t="s">
        <v>385</v>
      </c>
      <c r="R8" s="15">
        <v>0</v>
      </c>
      <c r="S8" s="12" t="s">
        <v>384</v>
      </c>
      <c r="T8" s="13" t="s">
        <v>385</v>
      </c>
      <c r="U8" s="15">
        <v>0</v>
      </c>
      <c r="V8" s="12" t="s">
        <v>384</v>
      </c>
      <c r="W8" s="13" t="s">
        <v>385</v>
      </c>
      <c r="X8" s="15">
        <v>0</v>
      </c>
      <c r="Y8" s="12" t="s">
        <v>384</v>
      </c>
      <c r="Z8" s="13" t="s">
        <v>385</v>
      </c>
      <c r="AA8" s="15">
        <v>0</v>
      </c>
      <c r="AB8" s="12" t="s">
        <v>384</v>
      </c>
      <c r="AC8" s="13" t="s">
        <v>385</v>
      </c>
      <c r="AD8" s="15">
        <v>0</v>
      </c>
      <c r="AE8" s="12" t="s">
        <v>384</v>
      </c>
      <c r="AF8" s="13" t="s">
        <v>385</v>
      </c>
      <c r="AG8" s="15">
        <v>0</v>
      </c>
      <c r="AH8" s="12" t="s">
        <v>384</v>
      </c>
      <c r="AI8" s="13" t="s">
        <v>385</v>
      </c>
      <c r="AJ8" s="15">
        <v>0</v>
      </c>
      <c r="AK8" s="12" t="s">
        <v>384</v>
      </c>
      <c r="AL8" s="13" t="s">
        <v>385</v>
      </c>
      <c r="AM8" s="15">
        <v>0</v>
      </c>
      <c r="AN8" s="12" t="s">
        <v>384</v>
      </c>
      <c r="AO8" s="13" t="s">
        <v>385</v>
      </c>
      <c r="AP8" s="15">
        <v>0</v>
      </c>
    </row>
    <row r="9" spans="1:42" ht="28.05" customHeight="1" x14ac:dyDescent="0.3">
      <c r="A9" s="5">
        <v>5</v>
      </c>
      <c r="B9" s="5" t="s">
        <v>388</v>
      </c>
      <c r="C9" s="5" t="s">
        <v>142</v>
      </c>
      <c r="D9" s="6" t="s">
        <v>159</v>
      </c>
      <c r="E9" s="6" t="s">
        <v>160</v>
      </c>
      <c r="F9" s="5" t="s">
        <v>150</v>
      </c>
      <c r="G9" s="11" t="s">
        <v>386</v>
      </c>
      <c r="H9" s="13" t="s">
        <v>387</v>
      </c>
      <c r="I9" s="11"/>
      <c r="J9" s="12" t="s">
        <v>384</v>
      </c>
      <c r="K9" s="13" t="s">
        <v>385</v>
      </c>
      <c r="L9" s="14">
        <v>0</v>
      </c>
      <c r="M9" s="12" t="s">
        <v>384</v>
      </c>
      <c r="N9" s="13" t="s">
        <v>385</v>
      </c>
      <c r="O9" s="14">
        <v>0</v>
      </c>
      <c r="P9" s="11" t="s">
        <v>386</v>
      </c>
      <c r="Q9" s="13" t="s">
        <v>387</v>
      </c>
      <c r="R9" s="11"/>
      <c r="S9" s="11" t="s">
        <v>386</v>
      </c>
      <c r="T9" s="13" t="s">
        <v>387</v>
      </c>
      <c r="U9" s="11"/>
      <c r="V9" s="11" t="s">
        <v>386</v>
      </c>
      <c r="W9" s="13" t="s">
        <v>387</v>
      </c>
      <c r="X9" s="11"/>
      <c r="Y9" s="11" t="s">
        <v>386</v>
      </c>
      <c r="Z9" s="13" t="s">
        <v>387</v>
      </c>
      <c r="AA9" s="11"/>
      <c r="AB9" s="11" t="s">
        <v>386</v>
      </c>
      <c r="AC9" s="13" t="s">
        <v>387</v>
      </c>
      <c r="AD9" s="11"/>
      <c r="AE9" s="11" t="s">
        <v>386</v>
      </c>
      <c r="AF9" s="13" t="s">
        <v>387</v>
      </c>
      <c r="AG9" s="11"/>
      <c r="AH9" s="11" t="s">
        <v>386</v>
      </c>
      <c r="AI9" s="13" t="s">
        <v>387</v>
      </c>
      <c r="AJ9" s="11"/>
      <c r="AK9" s="11" t="s">
        <v>386</v>
      </c>
      <c r="AL9" s="13" t="s">
        <v>387</v>
      </c>
      <c r="AM9" s="11"/>
      <c r="AN9" s="11" t="s">
        <v>386</v>
      </c>
      <c r="AO9" s="13" t="s">
        <v>387</v>
      </c>
      <c r="AP9" s="11"/>
    </row>
    <row r="10" spans="1:42" ht="28.05" customHeight="1" x14ac:dyDescent="0.3">
      <c r="A10" s="9">
        <v>6</v>
      </c>
      <c r="B10" s="9" t="s">
        <v>388</v>
      </c>
      <c r="C10" s="9" t="s">
        <v>147</v>
      </c>
      <c r="D10" s="10" t="s">
        <v>161</v>
      </c>
      <c r="E10" s="10" t="s">
        <v>162</v>
      </c>
      <c r="F10" s="9" t="s">
        <v>150</v>
      </c>
      <c r="G10" s="8" t="s">
        <v>386</v>
      </c>
      <c r="H10" s="13" t="s">
        <v>387</v>
      </c>
      <c r="I10" s="8"/>
      <c r="J10" s="12" t="s">
        <v>384</v>
      </c>
      <c r="K10" s="13" t="s">
        <v>385</v>
      </c>
      <c r="L10" s="15">
        <v>0</v>
      </c>
      <c r="M10" s="12" t="s">
        <v>384</v>
      </c>
      <c r="N10" s="13" t="s">
        <v>385</v>
      </c>
      <c r="O10" s="15">
        <v>0</v>
      </c>
      <c r="P10" s="8" t="s">
        <v>386</v>
      </c>
      <c r="Q10" s="13" t="s">
        <v>387</v>
      </c>
      <c r="R10" s="8"/>
      <c r="S10" s="8" t="s">
        <v>386</v>
      </c>
      <c r="T10" s="13" t="s">
        <v>387</v>
      </c>
      <c r="U10" s="8"/>
      <c r="V10" s="8" t="s">
        <v>386</v>
      </c>
      <c r="W10" s="13" t="s">
        <v>387</v>
      </c>
      <c r="X10" s="8"/>
      <c r="Y10" s="8" t="s">
        <v>386</v>
      </c>
      <c r="Z10" s="13" t="s">
        <v>387</v>
      </c>
      <c r="AA10" s="8"/>
      <c r="AB10" s="8" t="s">
        <v>386</v>
      </c>
      <c r="AC10" s="13" t="s">
        <v>387</v>
      </c>
      <c r="AD10" s="8"/>
      <c r="AE10" s="8" t="s">
        <v>386</v>
      </c>
      <c r="AF10" s="13" t="s">
        <v>387</v>
      </c>
      <c r="AG10" s="8"/>
      <c r="AH10" s="8" t="s">
        <v>386</v>
      </c>
      <c r="AI10" s="13" t="s">
        <v>387</v>
      </c>
      <c r="AJ10" s="8"/>
      <c r="AK10" s="8" t="s">
        <v>386</v>
      </c>
      <c r="AL10" s="13" t="s">
        <v>387</v>
      </c>
      <c r="AM10" s="8"/>
      <c r="AN10" s="8" t="s">
        <v>386</v>
      </c>
      <c r="AO10" s="13" t="s">
        <v>387</v>
      </c>
      <c r="AP10" s="8"/>
    </row>
    <row r="11" spans="1:42" ht="28.05" customHeight="1" x14ac:dyDescent="0.3">
      <c r="A11" s="5">
        <v>7</v>
      </c>
      <c r="B11" s="5" t="s">
        <v>388</v>
      </c>
      <c r="C11" s="5" t="s">
        <v>151</v>
      </c>
      <c r="D11" s="6" t="s">
        <v>163</v>
      </c>
      <c r="E11" s="6" t="s">
        <v>164</v>
      </c>
      <c r="F11" s="5" t="s">
        <v>145</v>
      </c>
      <c r="G11" s="11" t="s">
        <v>386</v>
      </c>
      <c r="H11" s="13" t="s">
        <v>387</v>
      </c>
      <c r="I11" s="11"/>
      <c r="J11" s="12" t="s">
        <v>384</v>
      </c>
      <c r="K11" s="13" t="s">
        <v>385</v>
      </c>
      <c r="L11" s="14">
        <v>0</v>
      </c>
      <c r="M11" s="12" t="s">
        <v>384</v>
      </c>
      <c r="N11" s="13" t="s">
        <v>385</v>
      </c>
      <c r="O11" s="14">
        <v>0</v>
      </c>
      <c r="P11" s="12" t="s">
        <v>384</v>
      </c>
      <c r="Q11" s="13" t="s">
        <v>385</v>
      </c>
      <c r="R11" s="14">
        <v>0</v>
      </c>
      <c r="S11" s="11" t="s">
        <v>386</v>
      </c>
      <c r="T11" s="13" t="s">
        <v>387</v>
      </c>
      <c r="U11" s="11"/>
      <c r="V11" s="11" t="s">
        <v>386</v>
      </c>
      <c r="W11" s="13" t="s">
        <v>387</v>
      </c>
      <c r="X11" s="11"/>
      <c r="Y11" s="11" t="s">
        <v>386</v>
      </c>
      <c r="Z11" s="13" t="s">
        <v>387</v>
      </c>
      <c r="AA11" s="11"/>
      <c r="AB11" s="11" t="s">
        <v>386</v>
      </c>
      <c r="AC11" s="13" t="s">
        <v>387</v>
      </c>
      <c r="AD11" s="11"/>
      <c r="AE11" s="11" t="s">
        <v>386</v>
      </c>
      <c r="AF11" s="13" t="s">
        <v>387</v>
      </c>
      <c r="AG11" s="11"/>
      <c r="AH11" s="11" t="s">
        <v>386</v>
      </c>
      <c r="AI11" s="13" t="s">
        <v>387</v>
      </c>
      <c r="AJ11" s="11"/>
      <c r="AK11" s="11" t="s">
        <v>386</v>
      </c>
      <c r="AL11" s="13" t="s">
        <v>387</v>
      </c>
      <c r="AM11" s="11"/>
      <c r="AN11" s="11" t="s">
        <v>386</v>
      </c>
      <c r="AO11" s="13" t="s">
        <v>387</v>
      </c>
      <c r="AP11" s="11"/>
    </row>
    <row r="12" spans="1:42" ht="28.05" customHeight="1" x14ac:dyDescent="0.3">
      <c r="A12" s="9">
        <v>8</v>
      </c>
      <c r="B12" s="9" t="s">
        <v>388</v>
      </c>
      <c r="C12" s="9" t="s">
        <v>154</v>
      </c>
      <c r="D12" s="10" t="s">
        <v>165</v>
      </c>
      <c r="E12" s="10" t="s">
        <v>166</v>
      </c>
      <c r="F12" s="9" t="s">
        <v>145</v>
      </c>
      <c r="G12" s="12" t="s">
        <v>384</v>
      </c>
      <c r="H12" s="13" t="s">
        <v>385</v>
      </c>
      <c r="I12" s="15">
        <v>0</v>
      </c>
      <c r="J12" s="12" t="s">
        <v>384</v>
      </c>
      <c r="K12" s="13" t="s">
        <v>385</v>
      </c>
      <c r="L12" s="15">
        <v>0</v>
      </c>
      <c r="M12" s="12" t="s">
        <v>384</v>
      </c>
      <c r="N12" s="13" t="s">
        <v>385</v>
      </c>
      <c r="O12" s="15">
        <v>0</v>
      </c>
      <c r="P12" s="12" t="s">
        <v>384</v>
      </c>
      <c r="Q12" s="13" t="s">
        <v>385</v>
      </c>
      <c r="R12" s="15">
        <v>0</v>
      </c>
      <c r="S12" s="12" t="s">
        <v>384</v>
      </c>
      <c r="T12" s="13" t="s">
        <v>385</v>
      </c>
      <c r="U12" s="15">
        <v>0</v>
      </c>
      <c r="V12" s="12" t="s">
        <v>384</v>
      </c>
      <c r="W12" s="13" t="s">
        <v>385</v>
      </c>
      <c r="X12" s="15">
        <v>0</v>
      </c>
      <c r="Y12" s="8" t="s">
        <v>386</v>
      </c>
      <c r="Z12" s="13" t="s">
        <v>387</v>
      </c>
      <c r="AA12" s="8"/>
      <c r="AB12" s="8" t="s">
        <v>386</v>
      </c>
      <c r="AC12" s="13" t="s">
        <v>387</v>
      </c>
      <c r="AD12" s="8"/>
      <c r="AE12" s="8" t="s">
        <v>386</v>
      </c>
      <c r="AF12" s="13" t="s">
        <v>387</v>
      </c>
      <c r="AG12" s="8"/>
      <c r="AH12" s="8" t="s">
        <v>386</v>
      </c>
      <c r="AI12" s="13" t="s">
        <v>387</v>
      </c>
      <c r="AJ12" s="8"/>
      <c r="AK12" s="8" t="s">
        <v>386</v>
      </c>
      <c r="AL12" s="13" t="s">
        <v>387</v>
      </c>
      <c r="AM12" s="8"/>
      <c r="AN12" s="8" t="s">
        <v>386</v>
      </c>
      <c r="AO12" s="13" t="s">
        <v>387</v>
      </c>
      <c r="AP12" s="8"/>
    </row>
    <row r="13" spans="1:42" ht="28.05" customHeight="1" x14ac:dyDescent="0.3">
      <c r="A13" s="5">
        <v>9</v>
      </c>
      <c r="B13" s="5" t="s">
        <v>388</v>
      </c>
      <c r="C13" s="5" t="s">
        <v>167</v>
      </c>
      <c r="D13" s="6" t="s">
        <v>168</v>
      </c>
      <c r="E13" s="6" t="s">
        <v>169</v>
      </c>
      <c r="F13" s="5" t="s">
        <v>145</v>
      </c>
      <c r="G13" s="11" t="s">
        <v>386</v>
      </c>
      <c r="H13" s="13" t="s">
        <v>387</v>
      </c>
      <c r="I13" s="11"/>
      <c r="J13" s="11" t="s">
        <v>386</v>
      </c>
      <c r="K13" s="13" t="s">
        <v>387</v>
      </c>
      <c r="L13" s="11"/>
      <c r="M13" s="11" t="s">
        <v>386</v>
      </c>
      <c r="N13" s="13" t="s">
        <v>387</v>
      </c>
      <c r="O13" s="11"/>
      <c r="P13" s="11" t="s">
        <v>386</v>
      </c>
      <c r="Q13" s="13" t="s">
        <v>387</v>
      </c>
      <c r="R13" s="11"/>
      <c r="S13" s="11" t="s">
        <v>386</v>
      </c>
      <c r="T13" s="13" t="s">
        <v>387</v>
      </c>
      <c r="U13" s="11"/>
      <c r="V13" s="12" t="s">
        <v>384</v>
      </c>
      <c r="W13" s="13" t="s">
        <v>385</v>
      </c>
      <c r="X13" s="14">
        <v>0</v>
      </c>
      <c r="Y13" s="12" t="s">
        <v>384</v>
      </c>
      <c r="Z13" s="13" t="s">
        <v>385</v>
      </c>
      <c r="AA13" s="14">
        <v>0</v>
      </c>
      <c r="AB13" s="12" t="s">
        <v>384</v>
      </c>
      <c r="AC13" s="13" t="s">
        <v>385</v>
      </c>
      <c r="AD13" s="14">
        <v>0</v>
      </c>
      <c r="AE13" s="12" t="s">
        <v>384</v>
      </c>
      <c r="AF13" s="13" t="s">
        <v>385</v>
      </c>
      <c r="AG13" s="14">
        <v>0</v>
      </c>
      <c r="AH13" s="12" t="s">
        <v>384</v>
      </c>
      <c r="AI13" s="13" t="s">
        <v>385</v>
      </c>
      <c r="AJ13" s="14">
        <v>0</v>
      </c>
      <c r="AK13" s="12" t="s">
        <v>384</v>
      </c>
      <c r="AL13" s="13" t="s">
        <v>385</v>
      </c>
      <c r="AM13" s="14">
        <v>0</v>
      </c>
      <c r="AN13" s="12" t="s">
        <v>384</v>
      </c>
      <c r="AO13" s="13" t="s">
        <v>385</v>
      </c>
      <c r="AP13" s="14">
        <v>0</v>
      </c>
    </row>
    <row r="14" spans="1:42" ht="28.05" customHeight="1" x14ac:dyDescent="0.3">
      <c r="A14" s="9">
        <v>10</v>
      </c>
      <c r="B14" s="9" t="s">
        <v>389</v>
      </c>
      <c r="C14" s="9" t="s">
        <v>142</v>
      </c>
      <c r="D14" s="10" t="s">
        <v>172</v>
      </c>
      <c r="E14" s="10" t="s">
        <v>173</v>
      </c>
      <c r="F14" s="9" t="s">
        <v>150</v>
      </c>
      <c r="G14" s="8" t="s">
        <v>386</v>
      </c>
      <c r="H14" s="13" t="s">
        <v>387</v>
      </c>
      <c r="I14" s="8"/>
      <c r="J14" s="12" t="s">
        <v>384</v>
      </c>
      <c r="K14" s="13" t="s">
        <v>385</v>
      </c>
      <c r="L14" s="15">
        <v>0</v>
      </c>
      <c r="M14" s="12" t="s">
        <v>384</v>
      </c>
      <c r="N14" s="13" t="s">
        <v>385</v>
      </c>
      <c r="O14" s="15">
        <v>0</v>
      </c>
      <c r="P14" s="8" t="s">
        <v>386</v>
      </c>
      <c r="Q14" s="13" t="s">
        <v>387</v>
      </c>
      <c r="R14" s="8"/>
      <c r="S14" s="8" t="s">
        <v>386</v>
      </c>
      <c r="T14" s="13" t="s">
        <v>387</v>
      </c>
      <c r="U14" s="8"/>
      <c r="V14" s="8" t="s">
        <v>386</v>
      </c>
      <c r="W14" s="13" t="s">
        <v>387</v>
      </c>
      <c r="X14" s="8"/>
      <c r="Y14" s="8" t="s">
        <v>386</v>
      </c>
      <c r="Z14" s="13" t="s">
        <v>387</v>
      </c>
      <c r="AA14" s="8"/>
      <c r="AB14" s="8" t="s">
        <v>386</v>
      </c>
      <c r="AC14" s="13" t="s">
        <v>387</v>
      </c>
      <c r="AD14" s="8"/>
      <c r="AE14" s="8" t="s">
        <v>386</v>
      </c>
      <c r="AF14" s="13" t="s">
        <v>387</v>
      </c>
      <c r="AG14" s="8"/>
      <c r="AH14" s="8" t="s">
        <v>386</v>
      </c>
      <c r="AI14" s="13" t="s">
        <v>387</v>
      </c>
      <c r="AJ14" s="8"/>
      <c r="AK14" s="8" t="s">
        <v>386</v>
      </c>
      <c r="AL14" s="13" t="s">
        <v>387</v>
      </c>
      <c r="AM14" s="8"/>
      <c r="AN14" s="8" t="s">
        <v>386</v>
      </c>
      <c r="AO14" s="13" t="s">
        <v>387</v>
      </c>
      <c r="AP14" s="8"/>
    </row>
    <row r="15" spans="1:42" ht="28.05" customHeight="1" x14ac:dyDescent="0.3">
      <c r="A15" s="5">
        <v>11</v>
      </c>
      <c r="B15" s="5" t="s">
        <v>389</v>
      </c>
      <c r="C15" s="5" t="s">
        <v>147</v>
      </c>
      <c r="D15" s="6" t="s">
        <v>174</v>
      </c>
      <c r="E15" s="6" t="s">
        <v>175</v>
      </c>
      <c r="F15" s="5" t="s">
        <v>176</v>
      </c>
      <c r="G15" s="11" t="s">
        <v>386</v>
      </c>
      <c r="H15" s="13" t="s">
        <v>387</v>
      </c>
      <c r="I15" s="11"/>
      <c r="J15" s="12" t="s">
        <v>384</v>
      </c>
      <c r="K15" s="13" t="s">
        <v>385</v>
      </c>
      <c r="L15" s="14">
        <v>0</v>
      </c>
      <c r="M15" s="12" t="s">
        <v>384</v>
      </c>
      <c r="N15" s="13" t="s">
        <v>385</v>
      </c>
      <c r="O15" s="14">
        <v>0</v>
      </c>
      <c r="P15" s="11" t="s">
        <v>386</v>
      </c>
      <c r="Q15" s="13" t="s">
        <v>387</v>
      </c>
      <c r="R15" s="11"/>
      <c r="S15" s="11" t="s">
        <v>386</v>
      </c>
      <c r="T15" s="13" t="s">
        <v>387</v>
      </c>
      <c r="U15" s="11"/>
      <c r="V15" s="11" t="s">
        <v>386</v>
      </c>
      <c r="W15" s="13" t="s">
        <v>387</v>
      </c>
      <c r="X15" s="11"/>
      <c r="Y15" s="11" t="s">
        <v>386</v>
      </c>
      <c r="Z15" s="13" t="s">
        <v>387</v>
      </c>
      <c r="AA15" s="11"/>
      <c r="AB15" s="11" t="s">
        <v>386</v>
      </c>
      <c r="AC15" s="13" t="s">
        <v>387</v>
      </c>
      <c r="AD15" s="11"/>
      <c r="AE15" s="11" t="s">
        <v>386</v>
      </c>
      <c r="AF15" s="13" t="s">
        <v>387</v>
      </c>
      <c r="AG15" s="11"/>
      <c r="AH15" s="11" t="s">
        <v>386</v>
      </c>
      <c r="AI15" s="13" t="s">
        <v>387</v>
      </c>
      <c r="AJ15" s="11"/>
      <c r="AK15" s="11" t="s">
        <v>386</v>
      </c>
      <c r="AL15" s="13" t="s">
        <v>387</v>
      </c>
      <c r="AM15" s="11"/>
      <c r="AN15" s="11" t="s">
        <v>386</v>
      </c>
      <c r="AO15" s="13" t="s">
        <v>387</v>
      </c>
      <c r="AP15" s="11"/>
    </row>
    <row r="16" spans="1:42" ht="28.05" customHeight="1" x14ac:dyDescent="0.3">
      <c r="A16" s="9">
        <v>12</v>
      </c>
      <c r="B16" s="9" t="s">
        <v>389</v>
      </c>
      <c r="C16" s="9" t="s">
        <v>151</v>
      </c>
      <c r="D16" s="10" t="s">
        <v>177</v>
      </c>
      <c r="E16" s="10" t="s">
        <v>178</v>
      </c>
      <c r="F16" s="9" t="s">
        <v>145</v>
      </c>
      <c r="G16" s="8" t="s">
        <v>386</v>
      </c>
      <c r="H16" s="13" t="s">
        <v>387</v>
      </c>
      <c r="I16" s="8"/>
      <c r="J16" s="8" t="s">
        <v>386</v>
      </c>
      <c r="K16" s="13" t="s">
        <v>387</v>
      </c>
      <c r="L16" s="8"/>
      <c r="M16" s="12" t="s">
        <v>384</v>
      </c>
      <c r="N16" s="13" t="s">
        <v>385</v>
      </c>
      <c r="O16" s="15">
        <v>0</v>
      </c>
      <c r="P16" s="12" t="s">
        <v>384</v>
      </c>
      <c r="Q16" s="13" t="s">
        <v>385</v>
      </c>
      <c r="R16" s="15">
        <v>0</v>
      </c>
      <c r="S16" s="12" t="s">
        <v>384</v>
      </c>
      <c r="T16" s="13" t="s">
        <v>385</v>
      </c>
      <c r="U16" s="15">
        <v>0</v>
      </c>
      <c r="V16" s="8" t="s">
        <v>386</v>
      </c>
      <c r="W16" s="13" t="s">
        <v>387</v>
      </c>
      <c r="X16" s="8"/>
      <c r="Y16" s="8" t="s">
        <v>386</v>
      </c>
      <c r="Z16" s="13" t="s">
        <v>387</v>
      </c>
      <c r="AA16" s="8"/>
      <c r="AB16" s="8" t="s">
        <v>386</v>
      </c>
      <c r="AC16" s="13" t="s">
        <v>387</v>
      </c>
      <c r="AD16" s="8"/>
      <c r="AE16" s="8" t="s">
        <v>386</v>
      </c>
      <c r="AF16" s="13" t="s">
        <v>387</v>
      </c>
      <c r="AG16" s="8"/>
      <c r="AH16" s="8" t="s">
        <v>386</v>
      </c>
      <c r="AI16" s="13" t="s">
        <v>387</v>
      </c>
      <c r="AJ16" s="8"/>
      <c r="AK16" s="8" t="s">
        <v>386</v>
      </c>
      <c r="AL16" s="13" t="s">
        <v>387</v>
      </c>
      <c r="AM16" s="8"/>
      <c r="AN16" s="8" t="s">
        <v>386</v>
      </c>
      <c r="AO16" s="13" t="s">
        <v>387</v>
      </c>
      <c r="AP16" s="8"/>
    </row>
    <row r="17" spans="1:42" ht="28.05" customHeight="1" x14ac:dyDescent="0.3">
      <c r="A17" s="5">
        <v>13</v>
      </c>
      <c r="B17" s="5" t="s">
        <v>389</v>
      </c>
      <c r="C17" s="5" t="s">
        <v>154</v>
      </c>
      <c r="D17" s="6" t="s">
        <v>179</v>
      </c>
      <c r="E17" s="6" t="s">
        <v>178</v>
      </c>
      <c r="F17" s="5" t="s">
        <v>145</v>
      </c>
      <c r="G17" s="11" t="s">
        <v>386</v>
      </c>
      <c r="H17" s="13" t="s">
        <v>387</v>
      </c>
      <c r="I17" s="11"/>
      <c r="J17" s="11" t="s">
        <v>386</v>
      </c>
      <c r="K17" s="13" t="s">
        <v>387</v>
      </c>
      <c r="L17" s="11"/>
      <c r="M17" s="12" t="s">
        <v>384</v>
      </c>
      <c r="N17" s="13" t="s">
        <v>385</v>
      </c>
      <c r="O17" s="14">
        <v>0</v>
      </c>
      <c r="P17" s="12" t="s">
        <v>384</v>
      </c>
      <c r="Q17" s="13" t="s">
        <v>385</v>
      </c>
      <c r="R17" s="14">
        <v>0</v>
      </c>
      <c r="S17" s="12" t="s">
        <v>384</v>
      </c>
      <c r="T17" s="13" t="s">
        <v>385</v>
      </c>
      <c r="U17" s="14">
        <v>0</v>
      </c>
      <c r="V17" s="11" t="s">
        <v>386</v>
      </c>
      <c r="W17" s="13" t="s">
        <v>387</v>
      </c>
      <c r="X17" s="11"/>
      <c r="Y17" s="11" t="s">
        <v>386</v>
      </c>
      <c r="Z17" s="13" t="s">
        <v>387</v>
      </c>
      <c r="AA17" s="11"/>
      <c r="AB17" s="11" t="s">
        <v>386</v>
      </c>
      <c r="AC17" s="13" t="s">
        <v>387</v>
      </c>
      <c r="AD17" s="11"/>
      <c r="AE17" s="11" t="s">
        <v>386</v>
      </c>
      <c r="AF17" s="13" t="s">
        <v>387</v>
      </c>
      <c r="AG17" s="11"/>
      <c r="AH17" s="11" t="s">
        <v>386</v>
      </c>
      <c r="AI17" s="13" t="s">
        <v>387</v>
      </c>
      <c r="AJ17" s="11"/>
      <c r="AK17" s="11" t="s">
        <v>386</v>
      </c>
      <c r="AL17" s="13" t="s">
        <v>387</v>
      </c>
      <c r="AM17" s="11"/>
      <c r="AN17" s="11" t="s">
        <v>386</v>
      </c>
      <c r="AO17" s="13" t="s">
        <v>387</v>
      </c>
      <c r="AP17" s="11"/>
    </row>
    <row r="18" spans="1:42" ht="28.05" customHeight="1" x14ac:dyDescent="0.3">
      <c r="A18" s="9">
        <v>14</v>
      </c>
      <c r="B18" s="9" t="s">
        <v>389</v>
      </c>
      <c r="C18" s="9" t="s">
        <v>167</v>
      </c>
      <c r="D18" s="10" t="s">
        <v>180</v>
      </c>
      <c r="E18" s="10" t="s">
        <v>181</v>
      </c>
      <c r="F18" s="9" t="s">
        <v>145</v>
      </c>
      <c r="G18" s="8" t="s">
        <v>386</v>
      </c>
      <c r="H18" s="13" t="s">
        <v>387</v>
      </c>
      <c r="I18" s="8"/>
      <c r="J18" s="8" t="s">
        <v>386</v>
      </c>
      <c r="K18" s="13" t="s">
        <v>387</v>
      </c>
      <c r="L18" s="8"/>
      <c r="M18" s="8" t="s">
        <v>386</v>
      </c>
      <c r="N18" s="13" t="s">
        <v>387</v>
      </c>
      <c r="O18" s="8"/>
      <c r="P18" s="12" t="s">
        <v>384</v>
      </c>
      <c r="Q18" s="13" t="s">
        <v>385</v>
      </c>
      <c r="R18" s="15">
        <v>0</v>
      </c>
      <c r="S18" s="12" t="s">
        <v>384</v>
      </c>
      <c r="T18" s="13" t="s">
        <v>385</v>
      </c>
      <c r="U18" s="15">
        <v>0</v>
      </c>
      <c r="V18" s="12" t="s">
        <v>384</v>
      </c>
      <c r="W18" s="13" t="s">
        <v>385</v>
      </c>
      <c r="X18" s="15">
        <v>0</v>
      </c>
      <c r="Y18" s="12" t="s">
        <v>384</v>
      </c>
      <c r="Z18" s="13" t="s">
        <v>385</v>
      </c>
      <c r="AA18" s="15">
        <v>0</v>
      </c>
      <c r="AB18" s="12" t="s">
        <v>384</v>
      </c>
      <c r="AC18" s="13" t="s">
        <v>385</v>
      </c>
      <c r="AD18" s="15">
        <v>0</v>
      </c>
      <c r="AE18" s="12" t="s">
        <v>384</v>
      </c>
      <c r="AF18" s="13" t="s">
        <v>385</v>
      </c>
      <c r="AG18" s="15">
        <v>0</v>
      </c>
      <c r="AH18" s="12" t="s">
        <v>384</v>
      </c>
      <c r="AI18" s="13" t="s">
        <v>385</v>
      </c>
      <c r="AJ18" s="15">
        <v>0</v>
      </c>
      <c r="AK18" s="12" t="s">
        <v>384</v>
      </c>
      <c r="AL18" s="13" t="s">
        <v>385</v>
      </c>
      <c r="AM18" s="15">
        <v>0</v>
      </c>
      <c r="AN18" s="12" t="s">
        <v>384</v>
      </c>
      <c r="AO18" s="13" t="s">
        <v>385</v>
      </c>
      <c r="AP18" s="15">
        <v>0</v>
      </c>
    </row>
    <row r="19" spans="1:42" ht="28.05" customHeight="1" x14ac:dyDescent="0.3">
      <c r="A19" s="5">
        <v>15</v>
      </c>
      <c r="B19" s="5" t="s">
        <v>390</v>
      </c>
      <c r="C19" s="5" t="s">
        <v>142</v>
      </c>
      <c r="D19" s="6" t="s">
        <v>184</v>
      </c>
      <c r="E19" s="6" t="s">
        <v>185</v>
      </c>
      <c r="F19" s="5" t="s">
        <v>145</v>
      </c>
      <c r="G19" s="11" t="s">
        <v>386</v>
      </c>
      <c r="H19" s="13" t="s">
        <v>387</v>
      </c>
      <c r="I19" s="11"/>
      <c r="J19" s="11" t="s">
        <v>386</v>
      </c>
      <c r="K19" s="13" t="s">
        <v>387</v>
      </c>
      <c r="L19" s="11"/>
      <c r="M19" s="12" t="s">
        <v>384</v>
      </c>
      <c r="N19" s="13" t="s">
        <v>385</v>
      </c>
      <c r="O19" s="14">
        <v>0</v>
      </c>
      <c r="P19" s="12" t="s">
        <v>384</v>
      </c>
      <c r="Q19" s="13" t="s">
        <v>385</v>
      </c>
      <c r="R19" s="14">
        <v>0</v>
      </c>
      <c r="S19" s="11" t="s">
        <v>386</v>
      </c>
      <c r="T19" s="13" t="s">
        <v>387</v>
      </c>
      <c r="U19" s="11"/>
      <c r="V19" s="11" t="s">
        <v>386</v>
      </c>
      <c r="W19" s="13" t="s">
        <v>387</v>
      </c>
      <c r="X19" s="11"/>
      <c r="Y19" s="11" t="s">
        <v>386</v>
      </c>
      <c r="Z19" s="13" t="s">
        <v>387</v>
      </c>
      <c r="AA19" s="11"/>
      <c r="AB19" s="11" t="s">
        <v>386</v>
      </c>
      <c r="AC19" s="13" t="s">
        <v>387</v>
      </c>
      <c r="AD19" s="11"/>
      <c r="AE19" s="11" t="s">
        <v>386</v>
      </c>
      <c r="AF19" s="13" t="s">
        <v>387</v>
      </c>
      <c r="AG19" s="11"/>
      <c r="AH19" s="11" t="s">
        <v>386</v>
      </c>
      <c r="AI19" s="13" t="s">
        <v>387</v>
      </c>
      <c r="AJ19" s="11"/>
      <c r="AK19" s="11" t="s">
        <v>386</v>
      </c>
      <c r="AL19" s="13" t="s">
        <v>387</v>
      </c>
      <c r="AM19" s="11"/>
      <c r="AN19" s="11" t="s">
        <v>386</v>
      </c>
      <c r="AO19" s="13" t="s">
        <v>387</v>
      </c>
      <c r="AP19" s="11"/>
    </row>
    <row r="20" spans="1:42" ht="28.05" customHeight="1" x14ac:dyDescent="0.3">
      <c r="A20" s="9">
        <v>16</v>
      </c>
      <c r="B20" s="9" t="s">
        <v>390</v>
      </c>
      <c r="C20" s="9" t="s">
        <v>147</v>
      </c>
      <c r="D20" s="10" t="s">
        <v>186</v>
      </c>
      <c r="E20" s="10" t="s">
        <v>187</v>
      </c>
      <c r="F20" s="9" t="s">
        <v>150</v>
      </c>
      <c r="G20" s="8" t="s">
        <v>386</v>
      </c>
      <c r="H20" s="13" t="s">
        <v>387</v>
      </c>
      <c r="I20" s="8"/>
      <c r="J20" s="8" t="s">
        <v>386</v>
      </c>
      <c r="K20" s="13" t="s">
        <v>387</v>
      </c>
      <c r="L20" s="8"/>
      <c r="M20" s="8" t="s">
        <v>386</v>
      </c>
      <c r="N20" s="13" t="s">
        <v>387</v>
      </c>
      <c r="O20" s="8"/>
      <c r="P20" s="12" t="s">
        <v>384</v>
      </c>
      <c r="Q20" s="13" t="s">
        <v>385</v>
      </c>
      <c r="R20" s="15">
        <v>0</v>
      </c>
      <c r="S20" s="8" t="s">
        <v>386</v>
      </c>
      <c r="T20" s="13" t="s">
        <v>387</v>
      </c>
      <c r="U20" s="8"/>
      <c r="V20" s="8" t="s">
        <v>386</v>
      </c>
      <c r="W20" s="13" t="s">
        <v>387</v>
      </c>
      <c r="X20" s="8"/>
      <c r="Y20" s="8" t="s">
        <v>386</v>
      </c>
      <c r="Z20" s="13" t="s">
        <v>387</v>
      </c>
      <c r="AA20" s="8"/>
      <c r="AB20" s="8" t="s">
        <v>386</v>
      </c>
      <c r="AC20" s="13" t="s">
        <v>387</v>
      </c>
      <c r="AD20" s="8"/>
      <c r="AE20" s="8" t="s">
        <v>386</v>
      </c>
      <c r="AF20" s="13" t="s">
        <v>387</v>
      </c>
      <c r="AG20" s="8"/>
      <c r="AH20" s="8" t="s">
        <v>386</v>
      </c>
      <c r="AI20" s="13" t="s">
        <v>387</v>
      </c>
      <c r="AJ20" s="8"/>
      <c r="AK20" s="8" t="s">
        <v>386</v>
      </c>
      <c r="AL20" s="13" t="s">
        <v>387</v>
      </c>
      <c r="AM20" s="8"/>
      <c r="AN20" s="8" t="s">
        <v>386</v>
      </c>
      <c r="AO20" s="13" t="s">
        <v>387</v>
      </c>
      <c r="AP20" s="8"/>
    </row>
    <row r="21" spans="1:42" ht="28.05" customHeight="1" x14ac:dyDescent="0.3">
      <c r="A21" s="5">
        <v>17</v>
      </c>
      <c r="B21" s="5" t="s">
        <v>390</v>
      </c>
      <c r="C21" s="5" t="s">
        <v>151</v>
      </c>
      <c r="D21" s="6" t="s">
        <v>188</v>
      </c>
      <c r="E21" s="6" t="s">
        <v>189</v>
      </c>
      <c r="F21" s="5" t="s">
        <v>190</v>
      </c>
      <c r="G21" s="11" t="s">
        <v>386</v>
      </c>
      <c r="H21" s="13" t="s">
        <v>387</v>
      </c>
      <c r="I21" s="11"/>
      <c r="J21" s="11" t="s">
        <v>386</v>
      </c>
      <c r="K21" s="13" t="s">
        <v>387</v>
      </c>
      <c r="L21" s="11"/>
      <c r="M21" s="11" t="s">
        <v>386</v>
      </c>
      <c r="N21" s="13" t="s">
        <v>387</v>
      </c>
      <c r="O21" s="11"/>
      <c r="P21" s="12" t="s">
        <v>384</v>
      </c>
      <c r="Q21" s="13" t="s">
        <v>385</v>
      </c>
      <c r="R21" s="14">
        <v>0</v>
      </c>
      <c r="S21" s="12" t="s">
        <v>384</v>
      </c>
      <c r="T21" s="13" t="s">
        <v>385</v>
      </c>
      <c r="U21" s="14">
        <v>0</v>
      </c>
      <c r="V21" s="11" t="s">
        <v>386</v>
      </c>
      <c r="W21" s="13" t="s">
        <v>387</v>
      </c>
      <c r="X21" s="11"/>
      <c r="Y21" s="11" t="s">
        <v>386</v>
      </c>
      <c r="Z21" s="13" t="s">
        <v>387</v>
      </c>
      <c r="AA21" s="11"/>
      <c r="AB21" s="11" t="s">
        <v>386</v>
      </c>
      <c r="AC21" s="13" t="s">
        <v>387</v>
      </c>
      <c r="AD21" s="11"/>
      <c r="AE21" s="11" t="s">
        <v>386</v>
      </c>
      <c r="AF21" s="13" t="s">
        <v>387</v>
      </c>
      <c r="AG21" s="11"/>
      <c r="AH21" s="11" t="s">
        <v>386</v>
      </c>
      <c r="AI21" s="13" t="s">
        <v>387</v>
      </c>
      <c r="AJ21" s="11"/>
      <c r="AK21" s="11" t="s">
        <v>386</v>
      </c>
      <c r="AL21" s="13" t="s">
        <v>387</v>
      </c>
      <c r="AM21" s="11"/>
      <c r="AN21" s="11" t="s">
        <v>386</v>
      </c>
      <c r="AO21" s="13" t="s">
        <v>387</v>
      </c>
      <c r="AP21" s="11"/>
    </row>
    <row r="22" spans="1:42" ht="28.05" customHeight="1" x14ac:dyDescent="0.3">
      <c r="A22" s="9">
        <v>18</v>
      </c>
      <c r="B22" s="9" t="s">
        <v>390</v>
      </c>
      <c r="C22" s="9" t="s">
        <v>154</v>
      </c>
      <c r="D22" s="10" t="s">
        <v>191</v>
      </c>
      <c r="E22" s="10" t="s">
        <v>192</v>
      </c>
      <c r="F22" s="9" t="s">
        <v>145</v>
      </c>
      <c r="G22" s="8" t="s">
        <v>386</v>
      </c>
      <c r="H22" s="13" t="s">
        <v>387</v>
      </c>
      <c r="I22" s="8"/>
      <c r="J22" s="8" t="s">
        <v>386</v>
      </c>
      <c r="K22" s="13" t="s">
        <v>387</v>
      </c>
      <c r="L22" s="8"/>
      <c r="M22" s="8" t="s">
        <v>386</v>
      </c>
      <c r="N22" s="13" t="s">
        <v>387</v>
      </c>
      <c r="O22" s="8"/>
      <c r="P22" s="12" t="s">
        <v>384</v>
      </c>
      <c r="Q22" s="13" t="s">
        <v>385</v>
      </c>
      <c r="R22" s="15">
        <v>0</v>
      </c>
      <c r="S22" s="12" t="s">
        <v>384</v>
      </c>
      <c r="T22" s="13" t="s">
        <v>385</v>
      </c>
      <c r="U22" s="15">
        <v>0</v>
      </c>
      <c r="V22" s="12" t="s">
        <v>384</v>
      </c>
      <c r="W22" s="13" t="s">
        <v>385</v>
      </c>
      <c r="X22" s="15">
        <v>0</v>
      </c>
      <c r="Y22" s="12" t="s">
        <v>384</v>
      </c>
      <c r="Z22" s="13" t="s">
        <v>385</v>
      </c>
      <c r="AA22" s="15">
        <v>0</v>
      </c>
      <c r="AB22" s="12" t="s">
        <v>384</v>
      </c>
      <c r="AC22" s="13" t="s">
        <v>385</v>
      </c>
      <c r="AD22" s="15">
        <v>0</v>
      </c>
      <c r="AE22" s="12" t="s">
        <v>384</v>
      </c>
      <c r="AF22" s="13" t="s">
        <v>385</v>
      </c>
      <c r="AG22" s="15">
        <v>0</v>
      </c>
      <c r="AH22" s="12" t="s">
        <v>384</v>
      </c>
      <c r="AI22" s="13" t="s">
        <v>385</v>
      </c>
      <c r="AJ22" s="15">
        <v>0</v>
      </c>
      <c r="AK22" s="12" t="s">
        <v>384</v>
      </c>
      <c r="AL22" s="13" t="s">
        <v>385</v>
      </c>
      <c r="AM22" s="15">
        <v>0</v>
      </c>
      <c r="AN22" s="12" t="s">
        <v>384</v>
      </c>
      <c r="AO22" s="13" t="s">
        <v>385</v>
      </c>
      <c r="AP22" s="15">
        <v>0</v>
      </c>
    </row>
    <row r="23" spans="1:42" ht="28.05" customHeight="1" x14ac:dyDescent="0.3">
      <c r="A23" s="5">
        <v>19</v>
      </c>
      <c r="B23" s="5" t="s">
        <v>391</v>
      </c>
      <c r="C23" s="5" t="s">
        <v>142</v>
      </c>
      <c r="D23" s="6" t="s">
        <v>196</v>
      </c>
      <c r="E23" s="6" t="s">
        <v>197</v>
      </c>
      <c r="F23" s="5" t="s">
        <v>198</v>
      </c>
      <c r="G23" s="11" t="s">
        <v>386</v>
      </c>
      <c r="H23" s="13" t="s">
        <v>387</v>
      </c>
      <c r="I23" s="11"/>
      <c r="J23" s="11" t="s">
        <v>386</v>
      </c>
      <c r="K23" s="13" t="s">
        <v>387</v>
      </c>
      <c r="L23" s="11"/>
      <c r="M23" s="12" t="s">
        <v>384</v>
      </c>
      <c r="N23" s="13" t="s">
        <v>385</v>
      </c>
      <c r="O23" s="14">
        <v>0</v>
      </c>
      <c r="P23" s="11" t="s">
        <v>386</v>
      </c>
      <c r="Q23" s="13" t="s">
        <v>387</v>
      </c>
      <c r="R23" s="11"/>
      <c r="S23" s="11" t="s">
        <v>386</v>
      </c>
      <c r="T23" s="13" t="s">
        <v>387</v>
      </c>
      <c r="U23" s="11"/>
      <c r="V23" s="11" t="s">
        <v>386</v>
      </c>
      <c r="W23" s="13" t="s">
        <v>387</v>
      </c>
      <c r="X23" s="11"/>
      <c r="Y23" s="11" t="s">
        <v>386</v>
      </c>
      <c r="Z23" s="13" t="s">
        <v>387</v>
      </c>
      <c r="AA23" s="11"/>
      <c r="AB23" s="11" t="s">
        <v>386</v>
      </c>
      <c r="AC23" s="13" t="s">
        <v>387</v>
      </c>
      <c r="AD23" s="11"/>
      <c r="AE23" s="11" t="s">
        <v>386</v>
      </c>
      <c r="AF23" s="13" t="s">
        <v>387</v>
      </c>
      <c r="AG23" s="11"/>
      <c r="AH23" s="11" t="s">
        <v>386</v>
      </c>
      <c r="AI23" s="13" t="s">
        <v>387</v>
      </c>
      <c r="AJ23" s="11"/>
      <c r="AK23" s="11" t="s">
        <v>386</v>
      </c>
      <c r="AL23" s="13" t="s">
        <v>387</v>
      </c>
      <c r="AM23" s="11"/>
      <c r="AN23" s="11" t="s">
        <v>386</v>
      </c>
      <c r="AO23" s="13" t="s">
        <v>387</v>
      </c>
      <c r="AP23" s="11"/>
    </row>
    <row r="24" spans="1:42" ht="28.05" customHeight="1" x14ac:dyDescent="0.3">
      <c r="A24" s="9">
        <v>20</v>
      </c>
      <c r="B24" s="9" t="s">
        <v>391</v>
      </c>
      <c r="C24" s="9" t="s">
        <v>147</v>
      </c>
      <c r="D24" s="10" t="s">
        <v>199</v>
      </c>
      <c r="E24" s="10" t="s">
        <v>200</v>
      </c>
      <c r="F24" s="9" t="s">
        <v>201</v>
      </c>
      <c r="G24" s="8" t="s">
        <v>386</v>
      </c>
      <c r="H24" s="13" t="s">
        <v>387</v>
      </c>
      <c r="I24" s="8"/>
      <c r="J24" s="8" t="s">
        <v>386</v>
      </c>
      <c r="K24" s="13" t="s">
        <v>387</v>
      </c>
      <c r="L24" s="8"/>
      <c r="M24" s="12" t="s">
        <v>384</v>
      </c>
      <c r="N24" s="13" t="s">
        <v>385</v>
      </c>
      <c r="O24" s="15">
        <v>0</v>
      </c>
      <c r="P24" s="12" t="s">
        <v>384</v>
      </c>
      <c r="Q24" s="13" t="s">
        <v>385</v>
      </c>
      <c r="R24" s="15">
        <v>0</v>
      </c>
      <c r="S24" s="8" t="s">
        <v>386</v>
      </c>
      <c r="T24" s="13" t="s">
        <v>387</v>
      </c>
      <c r="U24" s="8"/>
      <c r="V24" s="8" t="s">
        <v>386</v>
      </c>
      <c r="W24" s="13" t="s">
        <v>387</v>
      </c>
      <c r="X24" s="8"/>
      <c r="Y24" s="8" t="s">
        <v>386</v>
      </c>
      <c r="Z24" s="13" t="s">
        <v>387</v>
      </c>
      <c r="AA24" s="8"/>
      <c r="AB24" s="8" t="s">
        <v>386</v>
      </c>
      <c r="AC24" s="13" t="s">
        <v>387</v>
      </c>
      <c r="AD24" s="8"/>
      <c r="AE24" s="8" t="s">
        <v>386</v>
      </c>
      <c r="AF24" s="13" t="s">
        <v>387</v>
      </c>
      <c r="AG24" s="8"/>
      <c r="AH24" s="8" t="s">
        <v>386</v>
      </c>
      <c r="AI24" s="13" t="s">
        <v>387</v>
      </c>
      <c r="AJ24" s="8"/>
      <c r="AK24" s="8" t="s">
        <v>386</v>
      </c>
      <c r="AL24" s="13" t="s">
        <v>387</v>
      </c>
      <c r="AM24" s="8"/>
      <c r="AN24" s="8" t="s">
        <v>386</v>
      </c>
      <c r="AO24" s="13" t="s">
        <v>387</v>
      </c>
      <c r="AP24" s="8"/>
    </row>
    <row r="25" spans="1:42" ht="28.05" customHeight="1" x14ac:dyDescent="0.3">
      <c r="A25" s="5">
        <v>21</v>
      </c>
      <c r="B25" s="5" t="s">
        <v>391</v>
      </c>
      <c r="C25" s="5" t="s">
        <v>151</v>
      </c>
      <c r="D25" s="6" t="s">
        <v>202</v>
      </c>
      <c r="E25" s="6" t="s">
        <v>203</v>
      </c>
      <c r="F25" s="5" t="s">
        <v>145</v>
      </c>
      <c r="G25" s="11" t="s">
        <v>386</v>
      </c>
      <c r="H25" s="13" t="s">
        <v>387</v>
      </c>
      <c r="I25" s="11"/>
      <c r="J25" s="11" t="s">
        <v>386</v>
      </c>
      <c r="K25" s="13" t="s">
        <v>387</v>
      </c>
      <c r="L25" s="11"/>
      <c r="M25" s="11" t="s">
        <v>386</v>
      </c>
      <c r="N25" s="13" t="s">
        <v>387</v>
      </c>
      <c r="O25" s="11"/>
      <c r="P25" s="12" t="s">
        <v>384</v>
      </c>
      <c r="Q25" s="13" t="s">
        <v>385</v>
      </c>
      <c r="R25" s="14">
        <v>0</v>
      </c>
      <c r="S25" s="12" t="s">
        <v>384</v>
      </c>
      <c r="T25" s="13" t="s">
        <v>385</v>
      </c>
      <c r="U25" s="14">
        <v>0</v>
      </c>
      <c r="V25" s="12" t="s">
        <v>384</v>
      </c>
      <c r="W25" s="13" t="s">
        <v>385</v>
      </c>
      <c r="X25" s="14">
        <v>0</v>
      </c>
      <c r="Y25" s="12" t="s">
        <v>384</v>
      </c>
      <c r="Z25" s="13" t="s">
        <v>385</v>
      </c>
      <c r="AA25" s="14">
        <v>0</v>
      </c>
      <c r="AB25" s="12" t="s">
        <v>384</v>
      </c>
      <c r="AC25" s="13" t="s">
        <v>385</v>
      </c>
      <c r="AD25" s="14">
        <v>0</v>
      </c>
      <c r="AE25" s="12" t="s">
        <v>384</v>
      </c>
      <c r="AF25" s="13" t="s">
        <v>385</v>
      </c>
      <c r="AG25" s="14">
        <v>0</v>
      </c>
      <c r="AH25" s="12" t="s">
        <v>384</v>
      </c>
      <c r="AI25" s="13" t="s">
        <v>385</v>
      </c>
      <c r="AJ25" s="14">
        <v>0</v>
      </c>
      <c r="AK25" s="12" t="s">
        <v>384</v>
      </c>
      <c r="AL25" s="13" t="s">
        <v>385</v>
      </c>
      <c r="AM25" s="14">
        <v>0</v>
      </c>
      <c r="AN25" s="12" t="s">
        <v>384</v>
      </c>
      <c r="AO25" s="13" t="s">
        <v>385</v>
      </c>
      <c r="AP25" s="14">
        <v>0</v>
      </c>
    </row>
    <row r="26" spans="1:42" ht="28.05" customHeight="1" x14ac:dyDescent="0.3">
      <c r="A26" s="9">
        <v>22</v>
      </c>
      <c r="B26" s="9" t="s">
        <v>391</v>
      </c>
      <c r="C26" s="9" t="s">
        <v>154</v>
      </c>
      <c r="D26" s="10" t="s">
        <v>204</v>
      </c>
      <c r="E26" s="10" t="s">
        <v>205</v>
      </c>
      <c r="F26" s="9" t="s">
        <v>206</v>
      </c>
      <c r="G26" s="8" t="s">
        <v>386</v>
      </c>
      <c r="H26" s="13" t="s">
        <v>387</v>
      </c>
      <c r="I26" s="8"/>
      <c r="J26" s="8" t="s">
        <v>386</v>
      </c>
      <c r="K26" s="13" t="s">
        <v>387</v>
      </c>
      <c r="L26" s="8"/>
      <c r="M26" s="8" t="s">
        <v>386</v>
      </c>
      <c r="N26" s="13" t="s">
        <v>387</v>
      </c>
      <c r="O26" s="8"/>
      <c r="P26" s="8" t="s">
        <v>386</v>
      </c>
      <c r="Q26" s="13" t="s">
        <v>387</v>
      </c>
      <c r="R26" s="8"/>
      <c r="S26" s="8" t="s">
        <v>386</v>
      </c>
      <c r="T26" s="13" t="s">
        <v>387</v>
      </c>
      <c r="U26" s="8"/>
      <c r="V26" s="12" t="s">
        <v>384</v>
      </c>
      <c r="W26" s="13" t="s">
        <v>385</v>
      </c>
      <c r="X26" s="15">
        <v>0</v>
      </c>
      <c r="Y26" s="8" t="s">
        <v>386</v>
      </c>
      <c r="Z26" s="13" t="s">
        <v>387</v>
      </c>
      <c r="AA26" s="8"/>
      <c r="AB26" s="8" t="s">
        <v>386</v>
      </c>
      <c r="AC26" s="13" t="s">
        <v>387</v>
      </c>
      <c r="AD26" s="8"/>
      <c r="AE26" s="12" t="s">
        <v>384</v>
      </c>
      <c r="AF26" s="13" t="s">
        <v>385</v>
      </c>
      <c r="AG26" s="15">
        <v>0</v>
      </c>
      <c r="AH26" s="8" t="s">
        <v>386</v>
      </c>
      <c r="AI26" s="13" t="s">
        <v>387</v>
      </c>
      <c r="AJ26" s="8"/>
      <c r="AK26" s="8" t="s">
        <v>386</v>
      </c>
      <c r="AL26" s="13" t="s">
        <v>387</v>
      </c>
      <c r="AM26" s="8"/>
      <c r="AN26" s="12" t="s">
        <v>384</v>
      </c>
      <c r="AO26" s="13" t="s">
        <v>385</v>
      </c>
      <c r="AP26" s="15">
        <v>0</v>
      </c>
    </row>
    <row r="27" spans="1:42" ht="28.05" customHeight="1" x14ac:dyDescent="0.3">
      <c r="A27" s="5">
        <v>23</v>
      </c>
      <c r="B27" s="5" t="s">
        <v>391</v>
      </c>
      <c r="C27" s="5" t="s">
        <v>167</v>
      </c>
      <c r="D27" s="6" t="s">
        <v>207</v>
      </c>
      <c r="E27" s="6" t="s">
        <v>208</v>
      </c>
      <c r="F27" s="5" t="s">
        <v>145</v>
      </c>
      <c r="G27" s="11" t="s">
        <v>386</v>
      </c>
      <c r="H27" s="13" t="s">
        <v>387</v>
      </c>
      <c r="I27" s="11"/>
      <c r="J27" s="11" t="s">
        <v>386</v>
      </c>
      <c r="K27" s="13" t="s">
        <v>387</v>
      </c>
      <c r="L27" s="11"/>
      <c r="M27" s="11" t="s">
        <v>386</v>
      </c>
      <c r="N27" s="13" t="s">
        <v>387</v>
      </c>
      <c r="O27" s="11"/>
      <c r="P27" s="11" t="s">
        <v>386</v>
      </c>
      <c r="Q27" s="13" t="s">
        <v>387</v>
      </c>
      <c r="R27" s="11"/>
      <c r="S27" s="11" t="s">
        <v>386</v>
      </c>
      <c r="T27" s="13" t="s">
        <v>387</v>
      </c>
      <c r="U27" s="11"/>
      <c r="V27" s="12" t="s">
        <v>384</v>
      </c>
      <c r="W27" s="13" t="s">
        <v>385</v>
      </c>
      <c r="X27" s="14">
        <v>0</v>
      </c>
      <c r="Y27" s="12" t="s">
        <v>384</v>
      </c>
      <c r="Z27" s="13" t="s">
        <v>385</v>
      </c>
      <c r="AA27" s="14">
        <v>0</v>
      </c>
      <c r="AB27" s="12" t="s">
        <v>384</v>
      </c>
      <c r="AC27" s="13" t="s">
        <v>385</v>
      </c>
      <c r="AD27" s="14">
        <v>0</v>
      </c>
      <c r="AE27" s="12" t="s">
        <v>384</v>
      </c>
      <c r="AF27" s="13" t="s">
        <v>385</v>
      </c>
      <c r="AG27" s="14">
        <v>0</v>
      </c>
      <c r="AH27" s="12" t="s">
        <v>384</v>
      </c>
      <c r="AI27" s="13" t="s">
        <v>385</v>
      </c>
      <c r="AJ27" s="14">
        <v>0</v>
      </c>
      <c r="AK27" s="12" t="s">
        <v>384</v>
      </c>
      <c r="AL27" s="13" t="s">
        <v>385</v>
      </c>
      <c r="AM27" s="14">
        <v>0</v>
      </c>
      <c r="AN27" s="12" t="s">
        <v>384</v>
      </c>
      <c r="AO27" s="13" t="s">
        <v>385</v>
      </c>
      <c r="AP27" s="14">
        <v>0</v>
      </c>
    </row>
    <row r="28" spans="1:42" ht="28.05" customHeight="1" x14ac:dyDescent="0.3">
      <c r="A28" s="9">
        <v>24</v>
      </c>
      <c r="B28" s="9" t="s">
        <v>392</v>
      </c>
      <c r="C28" s="9" t="s">
        <v>142</v>
      </c>
      <c r="D28" s="10" t="s">
        <v>211</v>
      </c>
      <c r="E28" s="10" t="s">
        <v>212</v>
      </c>
      <c r="F28" s="9" t="s">
        <v>213</v>
      </c>
      <c r="G28" s="8" t="s">
        <v>386</v>
      </c>
      <c r="H28" s="13" t="s">
        <v>387</v>
      </c>
      <c r="I28" s="8"/>
      <c r="J28" s="12" t="s">
        <v>384</v>
      </c>
      <c r="K28" s="13" t="s">
        <v>385</v>
      </c>
      <c r="L28" s="15">
        <v>0</v>
      </c>
      <c r="M28" s="12" t="s">
        <v>384</v>
      </c>
      <c r="N28" s="13" t="s">
        <v>385</v>
      </c>
      <c r="O28" s="15">
        <v>0</v>
      </c>
      <c r="P28" s="8" t="s">
        <v>386</v>
      </c>
      <c r="Q28" s="13" t="s">
        <v>387</v>
      </c>
      <c r="R28" s="8"/>
      <c r="S28" s="8" t="s">
        <v>386</v>
      </c>
      <c r="T28" s="13" t="s">
        <v>387</v>
      </c>
      <c r="U28" s="8"/>
      <c r="V28" s="8" t="s">
        <v>386</v>
      </c>
      <c r="W28" s="13" t="s">
        <v>387</v>
      </c>
      <c r="X28" s="8"/>
      <c r="Y28" s="8" t="s">
        <v>386</v>
      </c>
      <c r="Z28" s="13" t="s">
        <v>387</v>
      </c>
      <c r="AA28" s="8"/>
      <c r="AB28" s="8" t="s">
        <v>386</v>
      </c>
      <c r="AC28" s="13" t="s">
        <v>387</v>
      </c>
      <c r="AD28" s="8"/>
      <c r="AE28" s="8" t="s">
        <v>386</v>
      </c>
      <c r="AF28" s="13" t="s">
        <v>387</v>
      </c>
      <c r="AG28" s="8"/>
      <c r="AH28" s="8" t="s">
        <v>386</v>
      </c>
      <c r="AI28" s="13" t="s">
        <v>387</v>
      </c>
      <c r="AJ28" s="8"/>
      <c r="AK28" s="8" t="s">
        <v>386</v>
      </c>
      <c r="AL28" s="13" t="s">
        <v>387</v>
      </c>
      <c r="AM28" s="8"/>
      <c r="AN28" s="8" t="s">
        <v>386</v>
      </c>
      <c r="AO28" s="13" t="s">
        <v>387</v>
      </c>
      <c r="AP28" s="8"/>
    </row>
    <row r="29" spans="1:42" ht="28.05" customHeight="1" x14ac:dyDescent="0.3">
      <c r="A29" s="5">
        <v>25</v>
      </c>
      <c r="B29" s="5" t="s">
        <v>392</v>
      </c>
      <c r="C29" s="5" t="s">
        <v>147</v>
      </c>
      <c r="D29" s="6" t="s">
        <v>214</v>
      </c>
      <c r="E29" s="6" t="s">
        <v>215</v>
      </c>
      <c r="F29" s="5" t="s">
        <v>216</v>
      </c>
      <c r="G29" s="11" t="s">
        <v>386</v>
      </c>
      <c r="H29" s="13" t="s">
        <v>387</v>
      </c>
      <c r="I29" s="11"/>
      <c r="J29" s="11" t="s">
        <v>386</v>
      </c>
      <c r="K29" s="13" t="s">
        <v>387</v>
      </c>
      <c r="L29" s="11"/>
      <c r="M29" s="12" t="s">
        <v>384</v>
      </c>
      <c r="N29" s="13" t="s">
        <v>385</v>
      </c>
      <c r="O29" s="14">
        <v>0</v>
      </c>
      <c r="P29" s="12" t="s">
        <v>384</v>
      </c>
      <c r="Q29" s="13" t="s">
        <v>385</v>
      </c>
      <c r="R29" s="14">
        <v>0</v>
      </c>
      <c r="S29" s="11" t="s">
        <v>386</v>
      </c>
      <c r="T29" s="13" t="s">
        <v>387</v>
      </c>
      <c r="U29" s="11"/>
      <c r="V29" s="11" t="s">
        <v>386</v>
      </c>
      <c r="W29" s="13" t="s">
        <v>387</v>
      </c>
      <c r="X29" s="11"/>
      <c r="Y29" s="11" t="s">
        <v>386</v>
      </c>
      <c r="Z29" s="13" t="s">
        <v>387</v>
      </c>
      <c r="AA29" s="11"/>
      <c r="AB29" s="11" t="s">
        <v>386</v>
      </c>
      <c r="AC29" s="13" t="s">
        <v>387</v>
      </c>
      <c r="AD29" s="11"/>
      <c r="AE29" s="11" t="s">
        <v>386</v>
      </c>
      <c r="AF29" s="13" t="s">
        <v>387</v>
      </c>
      <c r="AG29" s="11"/>
      <c r="AH29" s="11" t="s">
        <v>386</v>
      </c>
      <c r="AI29" s="13" t="s">
        <v>387</v>
      </c>
      <c r="AJ29" s="11"/>
      <c r="AK29" s="11" t="s">
        <v>386</v>
      </c>
      <c r="AL29" s="13" t="s">
        <v>387</v>
      </c>
      <c r="AM29" s="11"/>
      <c r="AN29" s="11" t="s">
        <v>386</v>
      </c>
      <c r="AO29" s="13" t="s">
        <v>387</v>
      </c>
      <c r="AP29" s="11"/>
    </row>
    <row r="30" spans="1:42" ht="28.05" customHeight="1" x14ac:dyDescent="0.3">
      <c r="A30" s="9">
        <v>26</v>
      </c>
      <c r="B30" s="9" t="s">
        <v>392</v>
      </c>
      <c r="C30" s="9" t="s">
        <v>151</v>
      </c>
      <c r="D30" s="10" t="s">
        <v>217</v>
      </c>
      <c r="E30" s="10" t="s">
        <v>218</v>
      </c>
      <c r="F30" s="9" t="s">
        <v>216</v>
      </c>
      <c r="G30" s="8" t="s">
        <v>386</v>
      </c>
      <c r="H30" s="13" t="s">
        <v>387</v>
      </c>
      <c r="I30" s="8"/>
      <c r="J30" s="8" t="s">
        <v>386</v>
      </c>
      <c r="K30" s="13" t="s">
        <v>387</v>
      </c>
      <c r="L30" s="8"/>
      <c r="M30" s="8" t="s">
        <v>386</v>
      </c>
      <c r="N30" s="13" t="s">
        <v>387</v>
      </c>
      <c r="O30" s="8"/>
      <c r="P30" s="12" t="s">
        <v>384</v>
      </c>
      <c r="Q30" s="13" t="s">
        <v>385</v>
      </c>
      <c r="R30" s="15">
        <v>0</v>
      </c>
      <c r="S30" s="12" t="s">
        <v>384</v>
      </c>
      <c r="T30" s="13" t="s">
        <v>385</v>
      </c>
      <c r="U30" s="15">
        <v>0</v>
      </c>
      <c r="V30" s="8" t="s">
        <v>386</v>
      </c>
      <c r="W30" s="13" t="s">
        <v>387</v>
      </c>
      <c r="X30" s="8"/>
      <c r="Y30" s="8" t="s">
        <v>386</v>
      </c>
      <c r="Z30" s="13" t="s">
        <v>387</v>
      </c>
      <c r="AA30" s="8"/>
      <c r="AB30" s="8" t="s">
        <v>386</v>
      </c>
      <c r="AC30" s="13" t="s">
        <v>387</v>
      </c>
      <c r="AD30" s="8"/>
      <c r="AE30" s="8" t="s">
        <v>386</v>
      </c>
      <c r="AF30" s="13" t="s">
        <v>387</v>
      </c>
      <c r="AG30" s="8"/>
      <c r="AH30" s="8" t="s">
        <v>386</v>
      </c>
      <c r="AI30" s="13" t="s">
        <v>387</v>
      </c>
      <c r="AJ30" s="8"/>
      <c r="AK30" s="8" t="s">
        <v>386</v>
      </c>
      <c r="AL30" s="13" t="s">
        <v>387</v>
      </c>
      <c r="AM30" s="8"/>
      <c r="AN30" s="8" t="s">
        <v>386</v>
      </c>
      <c r="AO30" s="13" t="s">
        <v>387</v>
      </c>
      <c r="AP30" s="8"/>
    </row>
    <row r="31" spans="1:42" ht="28.05" customHeight="1" x14ac:dyDescent="0.3">
      <c r="A31" s="5">
        <v>27</v>
      </c>
      <c r="B31" s="5" t="s">
        <v>392</v>
      </c>
      <c r="C31" s="5" t="s">
        <v>154</v>
      </c>
      <c r="D31" s="6" t="s">
        <v>219</v>
      </c>
      <c r="E31" s="6" t="s">
        <v>220</v>
      </c>
      <c r="F31" s="5" t="s">
        <v>213</v>
      </c>
      <c r="G31" s="11" t="s">
        <v>386</v>
      </c>
      <c r="H31" s="13" t="s">
        <v>387</v>
      </c>
      <c r="I31" s="11"/>
      <c r="J31" s="11" t="s">
        <v>386</v>
      </c>
      <c r="K31" s="13" t="s">
        <v>387</v>
      </c>
      <c r="L31" s="11"/>
      <c r="M31" s="11" t="s">
        <v>386</v>
      </c>
      <c r="N31" s="13" t="s">
        <v>387</v>
      </c>
      <c r="O31" s="11"/>
      <c r="P31" s="11" t="s">
        <v>386</v>
      </c>
      <c r="Q31" s="13" t="s">
        <v>387</v>
      </c>
      <c r="R31" s="11"/>
      <c r="S31" s="12" t="s">
        <v>384</v>
      </c>
      <c r="T31" s="13" t="s">
        <v>385</v>
      </c>
      <c r="U31" s="14">
        <v>0</v>
      </c>
      <c r="V31" s="12" t="s">
        <v>384</v>
      </c>
      <c r="W31" s="13" t="s">
        <v>385</v>
      </c>
      <c r="X31" s="14">
        <v>0</v>
      </c>
      <c r="Y31" s="11" t="s">
        <v>386</v>
      </c>
      <c r="Z31" s="13" t="s">
        <v>387</v>
      </c>
      <c r="AA31" s="11"/>
      <c r="AB31" s="11" t="s">
        <v>386</v>
      </c>
      <c r="AC31" s="13" t="s">
        <v>387</v>
      </c>
      <c r="AD31" s="11"/>
      <c r="AE31" s="11" t="s">
        <v>386</v>
      </c>
      <c r="AF31" s="13" t="s">
        <v>387</v>
      </c>
      <c r="AG31" s="11"/>
      <c r="AH31" s="11" t="s">
        <v>386</v>
      </c>
      <c r="AI31" s="13" t="s">
        <v>387</v>
      </c>
      <c r="AJ31" s="11"/>
      <c r="AK31" s="11" t="s">
        <v>386</v>
      </c>
      <c r="AL31" s="13" t="s">
        <v>387</v>
      </c>
      <c r="AM31" s="11"/>
      <c r="AN31" s="11" t="s">
        <v>386</v>
      </c>
      <c r="AO31" s="13" t="s">
        <v>387</v>
      </c>
      <c r="AP31" s="11"/>
    </row>
    <row r="32" spans="1:42" ht="28.05" customHeight="1" x14ac:dyDescent="0.3">
      <c r="A32" s="9">
        <v>28</v>
      </c>
      <c r="B32" s="9" t="s">
        <v>392</v>
      </c>
      <c r="C32" s="9" t="s">
        <v>167</v>
      </c>
      <c r="D32" s="10" t="s">
        <v>221</v>
      </c>
      <c r="E32" s="10" t="s">
        <v>222</v>
      </c>
      <c r="F32" s="9" t="s">
        <v>223</v>
      </c>
      <c r="G32" s="8" t="s">
        <v>386</v>
      </c>
      <c r="H32" s="13" t="s">
        <v>387</v>
      </c>
      <c r="I32" s="8"/>
      <c r="J32" s="8" t="s">
        <v>386</v>
      </c>
      <c r="K32" s="13" t="s">
        <v>387</v>
      </c>
      <c r="L32" s="8"/>
      <c r="M32" s="8" t="s">
        <v>386</v>
      </c>
      <c r="N32" s="13" t="s">
        <v>387</v>
      </c>
      <c r="O32" s="8"/>
      <c r="P32" s="8" t="s">
        <v>386</v>
      </c>
      <c r="Q32" s="13" t="s">
        <v>387</v>
      </c>
      <c r="R32" s="8"/>
      <c r="S32" s="12" t="s">
        <v>384</v>
      </c>
      <c r="T32" s="13" t="s">
        <v>385</v>
      </c>
      <c r="U32" s="15">
        <v>0</v>
      </c>
      <c r="V32" s="12" t="s">
        <v>384</v>
      </c>
      <c r="W32" s="13" t="s">
        <v>385</v>
      </c>
      <c r="X32" s="15">
        <v>0</v>
      </c>
      <c r="Y32" s="8" t="s">
        <v>386</v>
      </c>
      <c r="Z32" s="13" t="s">
        <v>387</v>
      </c>
      <c r="AA32" s="8"/>
      <c r="AB32" s="8" t="s">
        <v>386</v>
      </c>
      <c r="AC32" s="13" t="s">
        <v>387</v>
      </c>
      <c r="AD32" s="8"/>
      <c r="AE32" s="8" t="s">
        <v>386</v>
      </c>
      <c r="AF32" s="13" t="s">
        <v>387</v>
      </c>
      <c r="AG32" s="8"/>
      <c r="AH32" s="8" t="s">
        <v>386</v>
      </c>
      <c r="AI32" s="13" t="s">
        <v>387</v>
      </c>
      <c r="AJ32" s="8"/>
      <c r="AK32" s="8" t="s">
        <v>386</v>
      </c>
      <c r="AL32" s="13" t="s">
        <v>387</v>
      </c>
      <c r="AM32" s="8"/>
      <c r="AN32" s="8" t="s">
        <v>386</v>
      </c>
      <c r="AO32" s="13" t="s">
        <v>387</v>
      </c>
      <c r="AP32" s="8"/>
    </row>
    <row r="33" spans="1:42" ht="28.05" customHeight="1" x14ac:dyDescent="0.3">
      <c r="A33" s="5">
        <v>29</v>
      </c>
      <c r="B33" s="5" t="s">
        <v>392</v>
      </c>
      <c r="C33" s="5" t="s">
        <v>224</v>
      </c>
      <c r="D33" s="6" t="s">
        <v>225</v>
      </c>
      <c r="E33" s="6" t="s">
        <v>226</v>
      </c>
      <c r="F33" s="5" t="s">
        <v>145</v>
      </c>
      <c r="G33" s="11" t="s">
        <v>386</v>
      </c>
      <c r="H33" s="13" t="s">
        <v>387</v>
      </c>
      <c r="I33" s="11"/>
      <c r="J33" s="11" t="s">
        <v>386</v>
      </c>
      <c r="K33" s="13" t="s">
        <v>387</v>
      </c>
      <c r="L33" s="11"/>
      <c r="M33" s="11" t="s">
        <v>386</v>
      </c>
      <c r="N33" s="13" t="s">
        <v>387</v>
      </c>
      <c r="O33" s="11"/>
      <c r="P33" s="11" t="s">
        <v>386</v>
      </c>
      <c r="Q33" s="13" t="s">
        <v>387</v>
      </c>
      <c r="R33" s="11"/>
      <c r="S33" s="11" t="s">
        <v>386</v>
      </c>
      <c r="T33" s="13" t="s">
        <v>387</v>
      </c>
      <c r="U33" s="11"/>
      <c r="V33" s="12" t="s">
        <v>384</v>
      </c>
      <c r="W33" s="13" t="s">
        <v>385</v>
      </c>
      <c r="X33" s="14">
        <v>0</v>
      </c>
      <c r="Y33" s="12" t="s">
        <v>384</v>
      </c>
      <c r="Z33" s="13" t="s">
        <v>385</v>
      </c>
      <c r="AA33" s="14">
        <v>0</v>
      </c>
      <c r="AB33" s="12" t="s">
        <v>384</v>
      </c>
      <c r="AC33" s="13" t="s">
        <v>385</v>
      </c>
      <c r="AD33" s="14">
        <v>0</v>
      </c>
      <c r="AE33" s="12" t="s">
        <v>384</v>
      </c>
      <c r="AF33" s="13" t="s">
        <v>385</v>
      </c>
      <c r="AG33" s="14">
        <v>0</v>
      </c>
      <c r="AH33" s="12" t="s">
        <v>384</v>
      </c>
      <c r="AI33" s="13" t="s">
        <v>385</v>
      </c>
      <c r="AJ33" s="14">
        <v>0</v>
      </c>
      <c r="AK33" s="12" t="s">
        <v>384</v>
      </c>
      <c r="AL33" s="13" t="s">
        <v>385</v>
      </c>
      <c r="AM33" s="14">
        <v>0</v>
      </c>
      <c r="AN33" s="12" t="s">
        <v>384</v>
      </c>
      <c r="AO33" s="13" t="s">
        <v>385</v>
      </c>
      <c r="AP33" s="14">
        <v>0</v>
      </c>
    </row>
    <row r="34" spans="1:42" ht="28.05" customHeight="1" x14ac:dyDescent="0.3">
      <c r="A34" s="9">
        <v>30</v>
      </c>
      <c r="B34" s="9" t="s">
        <v>393</v>
      </c>
      <c r="C34" s="9" t="s">
        <v>142</v>
      </c>
      <c r="D34" s="10" t="s">
        <v>229</v>
      </c>
      <c r="E34" s="10" t="s">
        <v>230</v>
      </c>
      <c r="F34" s="9" t="s">
        <v>231</v>
      </c>
      <c r="G34" s="8" t="s">
        <v>386</v>
      </c>
      <c r="H34" s="13" t="s">
        <v>387</v>
      </c>
      <c r="I34" s="8"/>
      <c r="J34" s="12" t="s">
        <v>384</v>
      </c>
      <c r="K34" s="13" t="s">
        <v>385</v>
      </c>
      <c r="L34" s="15">
        <v>0</v>
      </c>
      <c r="M34" s="12" t="s">
        <v>384</v>
      </c>
      <c r="N34" s="13" t="s">
        <v>385</v>
      </c>
      <c r="O34" s="15">
        <v>0</v>
      </c>
      <c r="P34" s="12" t="s">
        <v>384</v>
      </c>
      <c r="Q34" s="13" t="s">
        <v>385</v>
      </c>
      <c r="R34" s="15">
        <v>0</v>
      </c>
      <c r="S34" s="8" t="s">
        <v>386</v>
      </c>
      <c r="T34" s="13" t="s">
        <v>387</v>
      </c>
      <c r="U34" s="8"/>
      <c r="V34" s="8" t="s">
        <v>386</v>
      </c>
      <c r="W34" s="13" t="s">
        <v>387</v>
      </c>
      <c r="X34" s="8"/>
      <c r="Y34" s="8" t="s">
        <v>386</v>
      </c>
      <c r="Z34" s="13" t="s">
        <v>387</v>
      </c>
      <c r="AA34" s="8"/>
      <c r="AB34" s="8" t="s">
        <v>386</v>
      </c>
      <c r="AC34" s="13" t="s">
        <v>387</v>
      </c>
      <c r="AD34" s="8"/>
      <c r="AE34" s="8" t="s">
        <v>386</v>
      </c>
      <c r="AF34" s="13" t="s">
        <v>387</v>
      </c>
      <c r="AG34" s="8"/>
      <c r="AH34" s="8" t="s">
        <v>386</v>
      </c>
      <c r="AI34" s="13" t="s">
        <v>387</v>
      </c>
      <c r="AJ34" s="8"/>
      <c r="AK34" s="8" t="s">
        <v>386</v>
      </c>
      <c r="AL34" s="13" t="s">
        <v>387</v>
      </c>
      <c r="AM34" s="8"/>
      <c r="AN34" s="8" t="s">
        <v>386</v>
      </c>
      <c r="AO34" s="13" t="s">
        <v>387</v>
      </c>
      <c r="AP34" s="8"/>
    </row>
    <row r="35" spans="1:42" ht="28.05" customHeight="1" x14ac:dyDescent="0.3">
      <c r="A35" s="5">
        <v>31</v>
      </c>
      <c r="B35" s="5" t="s">
        <v>393</v>
      </c>
      <c r="C35" s="5" t="s">
        <v>147</v>
      </c>
      <c r="D35" s="6" t="s">
        <v>232</v>
      </c>
      <c r="E35" s="6" t="s">
        <v>233</v>
      </c>
      <c r="F35" s="5" t="s">
        <v>145</v>
      </c>
      <c r="G35" s="11" t="s">
        <v>386</v>
      </c>
      <c r="H35" s="13" t="s">
        <v>387</v>
      </c>
      <c r="I35" s="11"/>
      <c r="J35" s="11" t="s">
        <v>386</v>
      </c>
      <c r="K35" s="13" t="s">
        <v>387</v>
      </c>
      <c r="L35" s="11"/>
      <c r="M35" s="11" t="s">
        <v>386</v>
      </c>
      <c r="N35" s="13" t="s">
        <v>387</v>
      </c>
      <c r="O35" s="11"/>
      <c r="P35" s="11" t="s">
        <v>386</v>
      </c>
      <c r="Q35" s="13" t="s">
        <v>387</v>
      </c>
      <c r="R35" s="11"/>
      <c r="S35" s="12" t="s">
        <v>384</v>
      </c>
      <c r="T35" s="13" t="s">
        <v>385</v>
      </c>
      <c r="U35" s="14">
        <v>0</v>
      </c>
      <c r="V35" s="12" t="s">
        <v>384</v>
      </c>
      <c r="W35" s="13" t="s">
        <v>385</v>
      </c>
      <c r="X35" s="14">
        <v>0</v>
      </c>
      <c r="Y35" s="11" t="s">
        <v>386</v>
      </c>
      <c r="Z35" s="13" t="s">
        <v>387</v>
      </c>
      <c r="AA35" s="11"/>
      <c r="AB35" s="11" t="s">
        <v>386</v>
      </c>
      <c r="AC35" s="13" t="s">
        <v>387</v>
      </c>
      <c r="AD35" s="11"/>
      <c r="AE35" s="11" t="s">
        <v>386</v>
      </c>
      <c r="AF35" s="13" t="s">
        <v>387</v>
      </c>
      <c r="AG35" s="11"/>
      <c r="AH35" s="11" t="s">
        <v>386</v>
      </c>
      <c r="AI35" s="13" t="s">
        <v>387</v>
      </c>
      <c r="AJ35" s="11"/>
      <c r="AK35" s="11" t="s">
        <v>386</v>
      </c>
      <c r="AL35" s="13" t="s">
        <v>387</v>
      </c>
      <c r="AM35" s="11"/>
      <c r="AN35" s="11" t="s">
        <v>386</v>
      </c>
      <c r="AO35" s="13" t="s">
        <v>387</v>
      </c>
      <c r="AP35" s="11"/>
    </row>
    <row r="36" spans="1:42" ht="28.05" customHeight="1" x14ac:dyDescent="0.3">
      <c r="A36" s="9">
        <v>32</v>
      </c>
      <c r="B36" s="9" t="s">
        <v>393</v>
      </c>
      <c r="C36" s="9" t="s">
        <v>151</v>
      </c>
      <c r="D36" s="10" t="s">
        <v>234</v>
      </c>
      <c r="E36" s="10" t="s">
        <v>235</v>
      </c>
      <c r="F36" s="9" t="s">
        <v>145</v>
      </c>
      <c r="G36" s="8" t="s">
        <v>386</v>
      </c>
      <c r="H36" s="13" t="s">
        <v>387</v>
      </c>
      <c r="I36" s="8"/>
      <c r="J36" s="8" t="s">
        <v>386</v>
      </c>
      <c r="K36" s="13" t="s">
        <v>387</v>
      </c>
      <c r="L36" s="8"/>
      <c r="M36" s="8" t="s">
        <v>386</v>
      </c>
      <c r="N36" s="13" t="s">
        <v>387</v>
      </c>
      <c r="O36" s="8"/>
      <c r="P36" s="8" t="s">
        <v>386</v>
      </c>
      <c r="Q36" s="13" t="s">
        <v>387</v>
      </c>
      <c r="R36" s="8"/>
      <c r="S36" s="8" t="s">
        <v>386</v>
      </c>
      <c r="T36" s="13" t="s">
        <v>387</v>
      </c>
      <c r="U36" s="8"/>
      <c r="V36" s="12" t="s">
        <v>384</v>
      </c>
      <c r="W36" s="13" t="s">
        <v>385</v>
      </c>
      <c r="X36" s="15">
        <v>0</v>
      </c>
      <c r="Y36" s="12" t="s">
        <v>384</v>
      </c>
      <c r="Z36" s="13" t="s">
        <v>385</v>
      </c>
      <c r="AA36" s="15">
        <v>0</v>
      </c>
      <c r="AB36" s="12" t="s">
        <v>384</v>
      </c>
      <c r="AC36" s="13" t="s">
        <v>385</v>
      </c>
      <c r="AD36" s="15">
        <v>0</v>
      </c>
      <c r="AE36" s="12" t="s">
        <v>384</v>
      </c>
      <c r="AF36" s="13" t="s">
        <v>385</v>
      </c>
      <c r="AG36" s="15">
        <v>0</v>
      </c>
      <c r="AH36" s="12" t="s">
        <v>384</v>
      </c>
      <c r="AI36" s="13" t="s">
        <v>385</v>
      </c>
      <c r="AJ36" s="15">
        <v>0</v>
      </c>
      <c r="AK36" s="12" t="s">
        <v>384</v>
      </c>
      <c r="AL36" s="13" t="s">
        <v>385</v>
      </c>
      <c r="AM36" s="15">
        <v>0</v>
      </c>
      <c r="AN36" s="12" t="s">
        <v>384</v>
      </c>
      <c r="AO36" s="13" t="s">
        <v>385</v>
      </c>
      <c r="AP36" s="15">
        <v>0</v>
      </c>
    </row>
    <row r="37" spans="1:42" ht="28.05" customHeight="1" x14ac:dyDescent="0.3">
      <c r="A37" s="5">
        <v>33</v>
      </c>
      <c r="B37" s="5" t="s">
        <v>394</v>
      </c>
      <c r="C37" s="5" t="s">
        <v>142</v>
      </c>
      <c r="D37" s="6" t="s">
        <v>238</v>
      </c>
      <c r="E37" s="6" t="s">
        <v>239</v>
      </c>
      <c r="F37" s="5" t="s">
        <v>145</v>
      </c>
      <c r="G37" s="11" t="s">
        <v>386</v>
      </c>
      <c r="H37" s="13" t="s">
        <v>387</v>
      </c>
      <c r="I37" s="11"/>
      <c r="J37" s="12" t="s">
        <v>384</v>
      </c>
      <c r="K37" s="13" t="s">
        <v>385</v>
      </c>
      <c r="L37" s="14">
        <v>0</v>
      </c>
      <c r="M37" s="12" t="s">
        <v>384</v>
      </c>
      <c r="N37" s="13" t="s">
        <v>385</v>
      </c>
      <c r="O37" s="14">
        <v>0</v>
      </c>
      <c r="P37" s="11" t="s">
        <v>386</v>
      </c>
      <c r="Q37" s="13" t="s">
        <v>387</v>
      </c>
      <c r="R37" s="11"/>
      <c r="S37" s="11" t="s">
        <v>386</v>
      </c>
      <c r="T37" s="13" t="s">
        <v>387</v>
      </c>
      <c r="U37" s="11"/>
      <c r="V37" s="11" t="s">
        <v>386</v>
      </c>
      <c r="W37" s="13" t="s">
        <v>387</v>
      </c>
      <c r="X37" s="11"/>
      <c r="Y37" s="11" t="s">
        <v>386</v>
      </c>
      <c r="Z37" s="13" t="s">
        <v>387</v>
      </c>
      <c r="AA37" s="11"/>
      <c r="AB37" s="11" t="s">
        <v>386</v>
      </c>
      <c r="AC37" s="13" t="s">
        <v>387</v>
      </c>
      <c r="AD37" s="11"/>
      <c r="AE37" s="11" t="s">
        <v>386</v>
      </c>
      <c r="AF37" s="13" t="s">
        <v>387</v>
      </c>
      <c r="AG37" s="11"/>
      <c r="AH37" s="11" t="s">
        <v>386</v>
      </c>
      <c r="AI37" s="13" t="s">
        <v>387</v>
      </c>
      <c r="AJ37" s="11"/>
      <c r="AK37" s="11" t="s">
        <v>386</v>
      </c>
      <c r="AL37" s="13" t="s">
        <v>387</v>
      </c>
      <c r="AM37" s="11"/>
      <c r="AN37" s="11" t="s">
        <v>386</v>
      </c>
      <c r="AO37" s="13" t="s">
        <v>387</v>
      </c>
      <c r="AP37" s="11"/>
    </row>
    <row r="38" spans="1:42" ht="28.05" customHeight="1" x14ac:dyDescent="0.3">
      <c r="A38" s="9">
        <v>34</v>
      </c>
      <c r="B38" s="9" t="s">
        <v>394</v>
      </c>
      <c r="C38" s="9" t="s">
        <v>147</v>
      </c>
      <c r="D38" s="10" t="s">
        <v>240</v>
      </c>
      <c r="E38" s="10" t="s">
        <v>241</v>
      </c>
      <c r="F38" s="9" t="s">
        <v>145</v>
      </c>
      <c r="G38" s="8" t="s">
        <v>386</v>
      </c>
      <c r="H38" s="13" t="s">
        <v>387</v>
      </c>
      <c r="I38" s="8"/>
      <c r="J38" s="8" t="s">
        <v>386</v>
      </c>
      <c r="K38" s="13" t="s">
        <v>387</v>
      </c>
      <c r="L38" s="8"/>
      <c r="M38" s="12" t="s">
        <v>384</v>
      </c>
      <c r="N38" s="13" t="s">
        <v>385</v>
      </c>
      <c r="O38" s="15">
        <v>0</v>
      </c>
      <c r="P38" s="12" t="s">
        <v>384</v>
      </c>
      <c r="Q38" s="13" t="s">
        <v>385</v>
      </c>
      <c r="R38" s="15">
        <v>0</v>
      </c>
      <c r="S38" s="8" t="s">
        <v>386</v>
      </c>
      <c r="T38" s="13" t="s">
        <v>387</v>
      </c>
      <c r="U38" s="8"/>
      <c r="V38" s="12" t="s">
        <v>384</v>
      </c>
      <c r="W38" s="13" t="s">
        <v>385</v>
      </c>
      <c r="X38" s="15">
        <v>0</v>
      </c>
      <c r="Y38" s="12" t="s">
        <v>384</v>
      </c>
      <c r="Z38" s="13" t="s">
        <v>385</v>
      </c>
      <c r="AA38" s="15">
        <v>0</v>
      </c>
      <c r="AB38" s="8" t="s">
        <v>386</v>
      </c>
      <c r="AC38" s="13" t="s">
        <v>387</v>
      </c>
      <c r="AD38" s="8"/>
      <c r="AE38" s="12" t="s">
        <v>384</v>
      </c>
      <c r="AF38" s="13" t="s">
        <v>385</v>
      </c>
      <c r="AG38" s="15">
        <v>0</v>
      </c>
      <c r="AH38" s="12" t="s">
        <v>384</v>
      </c>
      <c r="AI38" s="13" t="s">
        <v>385</v>
      </c>
      <c r="AJ38" s="15">
        <v>0</v>
      </c>
      <c r="AK38" s="8" t="s">
        <v>386</v>
      </c>
      <c r="AL38" s="13" t="s">
        <v>387</v>
      </c>
      <c r="AM38" s="8"/>
      <c r="AN38" s="12" t="s">
        <v>384</v>
      </c>
      <c r="AO38" s="13" t="s">
        <v>385</v>
      </c>
      <c r="AP38" s="15">
        <v>0</v>
      </c>
    </row>
    <row r="39" spans="1:42" ht="28.05" customHeight="1" x14ac:dyDescent="0.3">
      <c r="A39" s="5">
        <v>35</v>
      </c>
      <c r="B39" s="5" t="s">
        <v>394</v>
      </c>
      <c r="C39" s="5" t="s">
        <v>151</v>
      </c>
      <c r="D39" s="6" t="s">
        <v>242</v>
      </c>
      <c r="E39" s="6" t="s">
        <v>243</v>
      </c>
      <c r="F39" s="5" t="s">
        <v>198</v>
      </c>
      <c r="G39" s="11" t="s">
        <v>386</v>
      </c>
      <c r="H39" s="13" t="s">
        <v>387</v>
      </c>
      <c r="I39" s="11"/>
      <c r="J39" s="11" t="s">
        <v>386</v>
      </c>
      <c r="K39" s="13" t="s">
        <v>387</v>
      </c>
      <c r="L39" s="11"/>
      <c r="M39" s="11" t="s">
        <v>386</v>
      </c>
      <c r="N39" s="13" t="s">
        <v>387</v>
      </c>
      <c r="O39" s="11"/>
      <c r="P39" s="11" t="s">
        <v>386</v>
      </c>
      <c r="Q39" s="13" t="s">
        <v>387</v>
      </c>
      <c r="R39" s="11"/>
      <c r="S39" s="12" t="s">
        <v>384</v>
      </c>
      <c r="T39" s="13" t="s">
        <v>385</v>
      </c>
      <c r="U39" s="14">
        <v>0</v>
      </c>
      <c r="V39" s="11" t="s">
        <v>386</v>
      </c>
      <c r="W39" s="13" t="s">
        <v>387</v>
      </c>
      <c r="X39" s="11"/>
      <c r="Y39" s="11" t="s">
        <v>386</v>
      </c>
      <c r="Z39" s="13" t="s">
        <v>387</v>
      </c>
      <c r="AA39" s="11"/>
      <c r="AB39" s="12" t="s">
        <v>384</v>
      </c>
      <c r="AC39" s="13" t="s">
        <v>385</v>
      </c>
      <c r="AD39" s="14">
        <v>0</v>
      </c>
      <c r="AE39" s="11" t="s">
        <v>386</v>
      </c>
      <c r="AF39" s="13" t="s">
        <v>387</v>
      </c>
      <c r="AG39" s="11"/>
      <c r="AH39" s="11" t="s">
        <v>386</v>
      </c>
      <c r="AI39" s="13" t="s">
        <v>387</v>
      </c>
      <c r="AJ39" s="11"/>
      <c r="AK39" s="12" t="s">
        <v>384</v>
      </c>
      <c r="AL39" s="13" t="s">
        <v>385</v>
      </c>
      <c r="AM39" s="14">
        <v>0</v>
      </c>
      <c r="AN39" s="11" t="s">
        <v>386</v>
      </c>
      <c r="AO39" s="13" t="s">
        <v>387</v>
      </c>
      <c r="AP39" s="11"/>
    </row>
    <row r="40" spans="1:42" ht="28.05" customHeight="1" x14ac:dyDescent="0.3">
      <c r="A40" s="9">
        <v>36</v>
      </c>
      <c r="B40" s="9" t="s">
        <v>395</v>
      </c>
      <c r="C40" s="9" t="s">
        <v>142</v>
      </c>
      <c r="D40" s="10" t="s">
        <v>246</v>
      </c>
      <c r="E40" s="10" t="s">
        <v>247</v>
      </c>
      <c r="F40" s="9" t="s">
        <v>248</v>
      </c>
      <c r="G40" s="8" t="s">
        <v>386</v>
      </c>
      <c r="H40" s="13" t="s">
        <v>387</v>
      </c>
      <c r="I40" s="8"/>
      <c r="J40" s="8" t="s">
        <v>386</v>
      </c>
      <c r="K40" s="13" t="s">
        <v>387</v>
      </c>
      <c r="L40" s="8"/>
      <c r="M40" s="12" t="s">
        <v>384</v>
      </c>
      <c r="N40" s="13" t="s">
        <v>385</v>
      </c>
      <c r="O40" s="15">
        <v>0</v>
      </c>
      <c r="P40" s="8" t="s">
        <v>386</v>
      </c>
      <c r="Q40" s="13" t="s">
        <v>387</v>
      </c>
      <c r="R40" s="8"/>
      <c r="S40" s="8" t="s">
        <v>386</v>
      </c>
      <c r="T40" s="13" t="s">
        <v>387</v>
      </c>
      <c r="U40" s="8"/>
      <c r="V40" s="8" t="s">
        <v>386</v>
      </c>
      <c r="W40" s="13" t="s">
        <v>387</v>
      </c>
      <c r="X40" s="8"/>
      <c r="Y40" s="8" t="s">
        <v>386</v>
      </c>
      <c r="Z40" s="13" t="s">
        <v>387</v>
      </c>
      <c r="AA40" s="8"/>
      <c r="AB40" s="8" t="s">
        <v>386</v>
      </c>
      <c r="AC40" s="13" t="s">
        <v>387</v>
      </c>
      <c r="AD40" s="8"/>
      <c r="AE40" s="8" t="s">
        <v>386</v>
      </c>
      <c r="AF40" s="13" t="s">
        <v>387</v>
      </c>
      <c r="AG40" s="8"/>
      <c r="AH40" s="8" t="s">
        <v>386</v>
      </c>
      <c r="AI40" s="13" t="s">
        <v>387</v>
      </c>
      <c r="AJ40" s="8"/>
      <c r="AK40" s="8" t="s">
        <v>386</v>
      </c>
      <c r="AL40" s="13" t="s">
        <v>387</v>
      </c>
      <c r="AM40" s="8"/>
      <c r="AN40" s="8" t="s">
        <v>386</v>
      </c>
      <c r="AO40" s="13" t="s">
        <v>387</v>
      </c>
      <c r="AP40" s="8"/>
    </row>
    <row r="41" spans="1:42" ht="28.05" customHeight="1" x14ac:dyDescent="0.3">
      <c r="A41" s="5">
        <v>37</v>
      </c>
      <c r="B41" s="5" t="s">
        <v>395</v>
      </c>
      <c r="C41" s="5" t="s">
        <v>147</v>
      </c>
      <c r="D41" s="6" t="s">
        <v>249</v>
      </c>
      <c r="E41" s="6" t="s">
        <v>250</v>
      </c>
      <c r="F41" s="5" t="s">
        <v>248</v>
      </c>
      <c r="G41" s="11" t="s">
        <v>386</v>
      </c>
      <c r="H41" s="13" t="s">
        <v>387</v>
      </c>
      <c r="I41" s="11"/>
      <c r="J41" s="11" t="s">
        <v>386</v>
      </c>
      <c r="K41" s="13" t="s">
        <v>387</v>
      </c>
      <c r="L41" s="11"/>
      <c r="M41" s="12" t="s">
        <v>384</v>
      </c>
      <c r="N41" s="13" t="s">
        <v>385</v>
      </c>
      <c r="O41" s="14">
        <v>0</v>
      </c>
      <c r="P41" s="12" t="s">
        <v>384</v>
      </c>
      <c r="Q41" s="13" t="s">
        <v>385</v>
      </c>
      <c r="R41" s="14">
        <v>0</v>
      </c>
      <c r="S41" s="11" t="s">
        <v>386</v>
      </c>
      <c r="T41" s="13" t="s">
        <v>387</v>
      </c>
      <c r="U41" s="11"/>
      <c r="V41" s="11" t="s">
        <v>386</v>
      </c>
      <c r="W41" s="13" t="s">
        <v>387</v>
      </c>
      <c r="X41" s="11"/>
      <c r="Y41" s="11" t="s">
        <v>386</v>
      </c>
      <c r="Z41" s="13" t="s">
        <v>387</v>
      </c>
      <c r="AA41" s="11"/>
      <c r="AB41" s="11" t="s">
        <v>386</v>
      </c>
      <c r="AC41" s="13" t="s">
        <v>387</v>
      </c>
      <c r="AD41" s="11"/>
      <c r="AE41" s="11" t="s">
        <v>386</v>
      </c>
      <c r="AF41" s="13" t="s">
        <v>387</v>
      </c>
      <c r="AG41" s="11"/>
      <c r="AH41" s="11" t="s">
        <v>386</v>
      </c>
      <c r="AI41" s="13" t="s">
        <v>387</v>
      </c>
      <c r="AJ41" s="11"/>
      <c r="AK41" s="11" t="s">
        <v>386</v>
      </c>
      <c r="AL41" s="13" t="s">
        <v>387</v>
      </c>
      <c r="AM41" s="11"/>
      <c r="AN41" s="11" t="s">
        <v>386</v>
      </c>
      <c r="AO41" s="13" t="s">
        <v>387</v>
      </c>
      <c r="AP41" s="11"/>
    </row>
    <row r="42" spans="1:42" ht="28.05" customHeight="1" x14ac:dyDescent="0.3">
      <c r="A42" s="9">
        <v>38</v>
      </c>
      <c r="B42" s="9" t="s">
        <v>395</v>
      </c>
      <c r="C42" s="9" t="s">
        <v>151</v>
      </c>
      <c r="D42" s="10" t="s">
        <v>251</v>
      </c>
      <c r="E42" s="10" t="s">
        <v>252</v>
      </c>
      <c r="F42" s="9" t="s">
        <v>248</v>
      </c>
      <c r="G42" s="8" t="s">
        <v>386</v>
      </c>
      <c r="H42" s="13" t="s">
        <v>387</v>
      </c>
      <c r="I42" s="8"/>
      <c r="J42" s="8" t="s">
        <v>386</v>
      </c>
      <c r="K42" s="13" t="s">
        <v>387</v>
      </c>
      <c r="L42" s="8"/>
      <c r="M42" s="8" t="s">
        <v>386</v>
      </c>
      <c r="N42" s="13" t="s">
        <v>387</v>
      </c>
      <c r="O42" s="8"/>
      <c r="P42" s="12" t="s">
        <v>384</v>
      </c>
      <c r="Q42" s="13" t="s">
        <v>385</v>
      </c>
      <c r="R42" s="15">
        <v>0</v>
      </c>
      <c r="S42" s="8" t="s">
        <v>386</v>
      </c>
      <c r="T42" s="13" t="s">
        <v>387</v>
      </c>
      <c r="U42" s="8"/>
      <c r="V42" s="8" t="s">
        <v>386</v>
      </c>
      <c r="W42" s="13" t="s">
        <v>387</v>
      </c>
      <c r="X42" s="8"/>
      <c r="Y42" s="8" t="s">
        <v>386</v>
      </c>
      <c r="Z42" s="13" t="s">
        <v>387</v>
      </c>
      <c r="AA42" s="8"/>
      <c r="AB42" s="8" t="s">
        <v>386</v>
      </c>
      <c r="AC42" s="13" t="s">
        <v>387</v>
      </c>
      <c r="AD42" s="8"/>
      <c r="AE42" s="8" t="s">
        <v>386</v>
      </c>
      <c r="AF42" s="13" t="s">
        <v>387</v>
      </c>
      <c r="AG42" s="8"/>
      <c r="AH42" s="8" t="s">
        <v>386</v>
      </c>
      <c r="AI42" s="13" t="s">
        <v>387</v>
      </c>
      <c r="AJ42" s="8"/>
      <c r="AK42" s="8" t="s">
        <v>386</v>
      </c>
      <c r="AL42" s="13" t="s">
        <v>387</v>
      </c>
      <c r="AM42" s="8"/>
      <c r="AN42" s="8" t="s">
        <v>386</v>
      </c>
      <c r="AO42" s="13" t="s">
        <v>387</v>
      </c>
      <c r="AP42" s="8"/>
    </row>
    <row r="43" spans="1:42" ht="28.05" customHeight="1" x14ac:dyDescent="0.3">
      <c r="A43" s="5">
        <v>39</v>
      </c>
      <c r="B43" s="5" t="s">
        <v>395</v>
      </c>
      <c r="C43" s="5" t="s">
        <v>154</v>
      </c>
      <c r="D43" s="6" t="s">
        <v>253</v>
      </c>
      <c r="E43" s="6" t="s">
        <v>254</v>
      </c>
      <c r="F43" s="5" t="s">
        <v>145</v>
      </c>
      <c r="G43" s="11" t="s">
        <v>386</v>
      </c>
      <c r="H43" s="13" t="s">
        <v>387</v>
      </c>
      <c r="I43" s="11"/>
      <c r="J43" s="11" t="s">
        <v>386</v>
      </c>
      <c r="K43" s="13" t="s">
        <v>387</v>
      </c>
      <c r="L43" s="11"/>
      <c r="M43" s="11" t="s">
        <v>386</v>
      </c>
      <c r="N43" s="13" t="s">
        <v>387</v>
      </c>
      <c r="O43" s="11"/>
      <c r="P43" s="11" t="s">
        <v>386</v>
      </c>
      <c r="Q43" s="13" t="s">
        <v>387</v>
      </c>
      <c r="R43" s="11"/>
      <c r="S43" s="12" t="s">
        <v>384</v>
      </c>
      <c r="T43" s="13" t="s">
        <v>385</v>
      </c>
      <c r="U43" s="14">
        <v>0</v>
      </c>
      <c r="V43" s="12" t="s">
        <v>384</v>
      </c>
      <c r="W43" s="13" t="s">
        <v>385</v>
      </c>
      <c r="X43" s="14">
        <v>0</v>
      </c>
      <c r="Y43" s="11" t="s">
        <v>386</v>
      </c>
      <c r="Z43" s="13" t="s">
        <v>387</v>
      </c>
      <c r="AA43" s="11"/>
      <c r="AB43" s="11" t="s">
        <v>386</v>
      </c>
      <c r="AC43" s="13" t="s">
        <v>387</v>
      </c>
      <c r="AD43" s="11"/>
      <c r="AE43" s="11" t="s">
        <v>386</v>
      </c>
      <c r="AF43" s="13" t="s">
        <v>387</v>
      </c>
      <c r="AG43" s="11"/>
      <c r="AH43" s="11" t="s">
        <v>386</v>
      </c>
      <c r="AI43" s="13" t="s">
        <v>387</v>
      </c>
      <c r="AJ43" s="11"/>
      <c r="AK43" s="11" t="s">
        <v>386</v>
      </c>
      <c r="AL43" s="13" t="s">
        <v>387</v>
      </c>
      <c r="AM43" s="11"/>
      <c r="AN43" s="11" t="s">
        <v>386</v>
      </c>
      <c r="AO43" s="13" t="s">
        <v>387</v>
      </c>
      <c r="AP43" s="11"/>
    </row>
    <row r="44" spans="1:42" ht="28.05" customHeight="1" x14ac:dyDescent="0.3">
      <c r="A44" s="9">
        <v>40</v>
      </c>
      <c r="B44" s="9" t="s">
        <v>395</v>
      </c>
      <c r="C44" s="9" t="s">
        <v>167</v>
      </c>
      <c r="D44" s="10" t="s">
        <v>255</v>
      </c>
      <c r="E44" s="10" t="s">
        <v>254</v>
      </c>
      <c r="F44" s="9" t="s">
        <v>145</v>
      </c>
      <c r="G44" s="8" t="s">
        <v>386</v>
      </c>
      <c r="H44" s="13" t="s">
        <v>387</v>
      </c>
      <c r="I44" s="8"/>
      <c r="J44" s="8" t="s">
        <v>386</v>
      </c>
      <c r="K44" s="13" t="s">
        <v>387</v>
      </c>
      <c r="L44" s="8"/>
      <c r="M44" s="8" t="s">
        <v>386</v>
      </c>
      <c r="N44" s="13" t="s">
        <v>387</v>
      </c>
      <c r="O44" s="8"/>
      <c r="P44" s="8" t="s">
        <v>386</v>
      </c>
      <c r="Q44" s="13" t="s">
        <v>387</v>
      </c>
      <c r="R44" s="8"/>
      <c r="S44" s="8" t="s">
        <v>386</v>
      </c>
      <c r="T44" s="13" t="s">
        <v>387</v>
      </c>
      <c r="U44" s="8"/>
      <c r="V44" s="8" t="s">
        <v>386</v>
      </c>
      <c r="W44" s="13" t="s">
        <v>387</v>
      </c>
      <c r="X44" s="8"/>
      <c r="Y44" s="12" t="s">
        <v>384</v>
      </c>
      <c r="Z44" s="13" t="s">
        <v>385</v>
      </c>
      <c r="AA44" s="15">
        <v>0</v>
      </c>
      <c r="AB44" s="12" t="s">
        <v>384</v>
      </c>
      <c r="AC44" s="13" t="s">
        <v>385</v>
      </c>
      <c r="AD44" s="15">
        <v>0</v>
      </c>
      <c r="AE44" s="12" t="s">
        <v>384</v>
      </c>
      <c r="AF44" s="13" t="s">
        <v>385</v>
      </c>
      <c r="AG44" s="15">
        <v>0</v>
      </c>
      <c r="AH44" s="12" t="s">
        <v>384</v>
      </c>
      <c r="AI44" s="13" t="s">
        <v>385</v>
      </c>
      <c r="AJ44" s="15">
        <v>0</v>
      </c>
      <c r="AK44" s="12" t="s">
        <v>384</v>
      </c>
      <c r="AL44" s="13" t="s">
        <v>385</v>
      </c>
      <c r="AM44" s="15">
        <v>0</v>
      </c>
      <c r="AN44" s="12" t="s">
        <v>384</v>
      </c>
      <c r="AO44" s="13" t="s">
        <v>385</v>
      </c>
      <c r="AP44" s="15">
        <v>0</v>
      </c>
    </row>
    <row r="45" spans="1:42" ht="28.05" customHeight="1" x14ac:dyDescent="0.3">
      <c r="A45" s="5">
        <v>41</v>
      </c>
      <c r="B45" s="5" t="s">
        <v>395</v>
      </c>
      <c r="C45" s="5" t="s">
        <v>224</v>
      </c>
      <c r="D45" s="6" t="s">
        <v>256</v>
      </c>
      <c r="E45" s="6" t="s">
        <v>257</v>
      </c>
      <c r="F45" s="5" t="s">
        <v>145</v>
      </c>
      <c r="G45" s="11" t="s">
        <v>386</v>
      </c>
      <c r="H45" s="13" t="s">
        <v>387</v>
      </c>
      <c r="I45" s="11"/>
      <c r="J45" s="11" t="s">
        <v>386</v>
      </c>
      <c r="K45" s="13" t="s">
        <v>387</v>
      </c>
      <c r="L45" s="11"/>
      <c r="M45" s="11" t="s">
        <v>386</v>
      </c>
      <c r="N45" s="13" t="s">
        <v>387</v>
      </c>
      <c r="O45" s="11"/>
      <c r="P45" s="11" t="s">
        <v>386</v>
      </c>
      <c r="Q45" s="13" t="s">
        <v>387</v>
      </c>
      <c r="R45" s="11"/>
      <c r="S45" s="11" t="s">
        <v>386</v>
      </c>
      <c r="T45" s="13" t="s">
        <v>387</v>
      </c>
      <c r="U45" s="11"/>
      <c r="V45" s="11" t="s">
        <v>386</v>
      </c>
      <c r="W45" s="13" t="s">
        <v>387</v>
      </c>
      <c r="X45" s="11"/>
      <c r="Y45" s="12" t="s">
        <v>384</v>
      </c>
      <c r="Z45" s="13" t="s">
        <v>385</v>
      </c>
      <c r="AA45" s="14">
        <v>0</v>
      </c>
      <c r="AB45" s="12" t="s">
        <v>384</v>
      </c>
      <c r="AC45" s="13" t="s">
        <v>385</v>
      </c>
      <c r="AD45" s="14">
        <v>0</v>
      </c>
      <c r="AE45" s="12" t="s">
        <v>384</v>
      </c>
      <c r="AF45" s="13" t="s">
        <v>385</v>
      </c>
      <c r="AG45" s="14">
        <v>0</v>
      </c>
      <c r="AH45" s="12" t="s">
        <v>384</v>
      </c>
      <c r="AI45" s="13" t="s">
        <v>385</v>
      </c>
      <c r="AJ45" s="14">
        <v>0</v>
      </c>
      <c r="AK45" s="12" t="s">
        <v>384</v>
      </c>
      <c r="AL45" s="13" t="s">
        <v>385</v>
      </c>
      <c r="AM45" s="14">
        <v>0</v>
      </c>
      <c r="AN45" s="12" t="s">
        <v>384</v>
      </c>
      <c r="AO45" s="13" t="s">
        <v>385</v>
      </c>
      <c r="AP45" s="14">
        <v>0</v>
      </c>
    </row>
    <row r="46" spans="1:42" ht="28.05" customHeight="1" x14ac:dyDescent="0.3">
      <c r="A46" s="9">
        <v>42</v>
      </c>
      <c r="B46" s="9" t="s">
        <v>396</v>
      </c>
      <c r="C46" s="9" t="s">
        <v>142</v>
      </c>
      <c r="D46" s="10" t="s">
        <v>261</v>
      </c>
      <c r="E46" s="10" t="s">
        <v>262</v>
      </c>
      <c r="F46" s="9" t="s">
        <v>263</v>
      </c>
      <c r="G46" s="8" t="s">
        <v>386</v>
      </c>
      <c r="H46" s="13" t="s">
        <v>387</v>
      </c>
      <c r="I46" s="8"/>
      <c r="J46" s="8" t="s">
        <v>386</v>
      </c>
      <c r="K46" s="13" t="s">
        <v>387</v>
      </c>
      <c r="L46" s="8"/>
      <c r="M46" s="8" t="s">
        <v>386</v>
      </c>
      <c r="N46" s="13" t="s">
        <v>387</v>
      </c>
      <c r="O46" s="8"/>
      <c r="P46" s="8" t="s">
        <v>386</v>
      </c>
      <c r="Q46" s="13" t="s">
        <v>387</v>
      </c>
      <c r="R46" s="8"/>
      <c r="S46" s="8" t="s">
        <v>386</v>
      </c>
      <c r="T46" s="13" t="s">
        <v>387</v>
      </c>
      <c r="U46" s="8"/>
      <c r="V46" s="8" t="s">
        <v>386</v>
      </c>
      <c r="W46" s="13" t="s">
        <v>387</v>
      </c>
      <c r="X46" s="8"/>
      <c r="Y46" s="12" t="s">
        <v>384</v>
      </c>
      <c r="Z46" s="13" t="s">
        <v>385</v>
      </c>
      <c r="AA46" s="15">
        <v>0</v>
      </c>
      <c r="AB46" s="12" t="s">
        <v>384</v>
      </c>
      <c r="AC46" s="13" t="s">
        <v>385</v>
      </c>
      <c r="AD46" s="15">
        <v>0</v>
      </c>
      <c r="AE46" s="8" t="s">
        <v>386</v>
      </c>
      <c r="AF46" s="13" t="s">
        <v>387</v>
      </c>
      <c r="AG46" s="8"/>
      <c r="AH46" s="8" t="s">
        <v>386</v>
      </c>
      <c r="AI46" s="13" t="s">
        <v>387</v>
      </c>
      <c r="AJ46" s="8"/>
      <c r="AK46" s="8" t="s">
        <v>386</v>
      </c>
      <c r="AL46" s="13" t="s">
        <v>387</v>
      </c>
      <c r="AM46" s="8"/>
      <c r="AN46" s="8" t="s">
        <v>386</v>
      </c>
      <c r="AO46" s="13" t="s">
        <v>387</v>
      </c>
      <c r="AP46" s="8"/>
    </row>
    <row r="47" spans="1:42" ht="28.05" customHeight="1" x14ac:dyDescent="0.3">
      <c r="A47" s="5">
        <v>43</v>
      </c>
      <c r="B47" s="5" t="s">
        <v>396</v>
      </c>
      <c r="C47" s="5" t="s">
        <v>147</v>
      </c>
      <c r="D47" s="6" t="s">
        <v>264</v>
      </c>
      <c r="E47" s="6" t="s">
        <v>265</v>
      </c>
      <c r="F47" s="5" t="s">
        <v>263</v>
      </c>
      <c r="G47" s="11" t="s">
        <v>386</v>
      </c>
      <c r="H47" s="13" t="s">
        <v>387</v>
      </c>
      <c r="I47" s="11"/>
      <c r="J47" s="11" t="s">
        <v>386</v>
      </c>
      <c r="K47" s="13" t="s">
        <v>387</v>
      </c>
      <c r="L47" s="11"/>
      <c r="M47" s="11" t="s">
        <v>386</v>
      </c>
      <c r="N47" s="13" t="s">
        <v>387</v>
      </c>
      <c r="O47" s="11"/>
      <c r="P47" s="11" t="s">
        <v>386</v>
      </c>
      <c r="Q47" s="13" t="s">
        <v>387</v>
      </c>
      <c r="R47" s="11"/>
      <c r="S47" s="11" t="s">
        <v>386</v>
      </c>
      <c r="T47" s="13" t="s">
        <v>387</v>
      </c>
      <c r="U47" s="11"/>
      <c r="V47" s="11" t="s">
        <v>386</v>
      </c>
      <c r="W47" s="13" t="s">
        <v>387</v>
      </c>
      <c r="X47" s="11"/>
      <c r="Y47" s="12" t="s">
        <v>384</v>
      </c>
      <c r="Z47" s="13" t="s">
        <v>385</v>
      </c>
      <c r="AA47" s="14">
        <v>0</v>
      </c>
      <c r="AB47" s="12" t="s">
        <v>384</v>
      </c>
      <c r="AC47" s="13" t="s">
        <v>385</v>
      </c>
      <c r="AD47" s="14">
        <v>0</v>
      </c>
      <c r="AE47" s="11" t="s">
        <v>386</v>
      </c>
      <c r="AF47" s="13" t="s">
        <v>387</v>
      </c>
      <c r="AG47" s="11"/>
      <c r="AH47" s="11" t="s">
        <v>386</v>
      </c>
      <c r="AI47" s="13" t="s">
        <v>387</v>
      </c>
      <c r="AJ47" s="11"/>
      <c r="AK47" s="11" t="s">
        <v>386</v>
      </c>
      <c r="AL47" s="13" t="s">
        <v>387</v>
      </c>
      <c r="AM47" s="11"/>
      <c r="AN47" s="11" t="s">
        <v>386</v>
      </c>
      <c r="AO47" s="13" t="s">
        <v>387</v>
      </c>
      <c r="AP47" s="11"/>
    </row>
    <row r="48" spans="1:42" ht="28.05" customHeight="1" x14ac:dyDescent="0.3">
      <c r="A48" s="9">
        <v>44</v>
      </c>
      <c r="B48" s="9" t="s">
        <v>396</v>
      </c>
      <c r="C48" s="9" t="s">
        <v>151</v>
      </c>
      <c r="D48" s="10" t="s">
        <v>266</v>
      </c>
      <c r="E48" s="10" t="s">
        <v>267</v>
      </c>
      <c r="F48" s="9" t="s">
        <v>263</v>
      </c>
      <c r="G48" s="8" t="s">
        <v>386</v>
      </c>
      <c r="H48" s="13" t="s">
        <v>387</v>
      </c>
      <c r="I48" s="8"/>
      <c r="J48" s="8" t="s">
        <v>386</v>
      </c>
      <c r="K48" s="13" t="s">
        <v>387</v>
      </c>
      <c r="L48" s="8"/>
      <c r="M48" s="8" t="s">
        <v>386</v>
      </c>
      <c r="N48" s="13" t="s">
        <v>387</v>
      </c>
      <c r="O48" s="8"/>
      <c r="P48" s="8" t="s">
        <v>386</v>
      </c>
      <c r="Q48" s="13" t="s">
        <v>387</v>
      </c>
      <c r="R48" s="8"/>
      <c r="S48" s="8" t="s">
        <v>386</v>
      </c>
      <c r="T48" s="13" t="s">
        <v>387</v>
      </c>
      <c r="U48" s="8"/>
      <c r="V48" s="8" t="s">
        <v>386</v>
      </c>
      <c r="W48" s="13" t="s">
        <v>387</v>
      </c>
      <c r="X48" s="8"/>
      <c r="Y48" s="8" t="s">
        <v>386</v>
      </c>
      <c r="Z48" s="13" t="s">
        <v>387</v>
      </c>
      <c r="AA48" s="8"/>
      <c r="AB48" s="8" t="s">
        <v>386</v>
      </c>
      <c r="AC48" s="13" t="s">
        <v>387</v>
      </c>
      <c r="AD48" s="8"/>
      <c r="AE48" s="12" t="s">
        <v>384</v>
      </c>
      <c r="AF48" s="13" t="s">
        <v>385</v>
      </c>
      <c r="AG48" s="15">
        <v>0</v>
      </c>
      <c r="AH48" s="12" t="s">
        <v>384</v>
      </c>
      <c r="AI48" s="13" t="s">
        <v>385</v>
      </c>
      <c r="AJ48" s="15">
        <v>0</v>
      </c>
      <c r="AK48" s="8" t="s">
        <v>386</v>
      </c>
      <c r="AL48" s="13" t="s">
        <v>387</v>
      </c>
      <c r="AM48" s="8"/>
      <c r="AN48" s="8" t="s">
        <v>386</v>
      </c>
      <c r="AO48" s="13" t="s">
        <v>387</v>
      </c>
      <c r="AP48" s="8"/>
    </row>
    <row r="49" spans="1:42" ht="28.05" customHeight="1" x14ac:dyDescent="0.3">
      <c r="A49" s="5">
        <v>45</v>
      </c>
      <c r="B49" s="5" t="s">
        <v>396</v>
      </c>
      <c r="C49" s="5" t="s">
        <v>154</v>
      </c>
      <c r="D49" s="6" t="s">
        <v>268</v>
      </c>
      <c r="E49" s="6" t="s">
        <v>269</v>
      </c>
      <c r="F49" s="5" t="s">
        <v>263</v>
      </c>
      <c r="G49" s="11" t="s">
        <v>386</v>
      </c>
      <c r="H49" s="13" t="s">
        <v>387</v>
      </c>
      <c r="I49" s="11"/>
      <c r="J49" s="11" t="s">
        <v>386</v>
      </c>
      <c r="K49" s="13" t="s">
        <v>387</v>
      </c>
      <c r="L49" s="11"/>
      <c r="M49" s="11" t="s">
        <v>386</v>
      </c>
      <c r="N49" s="13" t="s">
        <v>387</v>
      </c>
      <c r="O49" s="11"/>
      <c r="P49" s="11" t="s">
        <v>386</v>
      </c>
      <c r="Q49" s="13" t="s">
        <v>387</v>
      </c>
      <c r="R49" s="11"/>
      <c r="S49" s="11" t="s">
        <v>386</v>
      </c>
      <c r="T49" s="13" t="s">
        <v>387</v>
      </c>
      <c r="U49" s="11"/>
      <c r="V49" s="11" t="s">
        <v>386</v>
      </c>
      <c r="W49" s="13" t="s">
        <v>387</v>
      </c>
      <c r="X49" s="11"/>
      <c r="Y49" s="11" t="s">
        <v>386</v>
      </c>
      <c r="Z49" s="13" t="s">
        <v>387</v>
      </c>
      <c r="AA49" s="11"/>
      <c r="AB49" s="11" t="s">
        <v>386</v>
      </c>
      <c r="AC49" s="13" t="s">
        <v>387</v>
      </c>
      <c r="AD49" s="11"/>
      <c r="AE49" s="11" t="s">
        <v>386</v>
      </c>
      <c r="AF49" s="13" t="s">
        <v>387</v>
      </c>
      <c r="AG49" s="11"/>
      <c r="AH49" s="11" t="s">
        <v>386</v>
      </c>
      <c r="AI49" s="13" t="s">
        <v>387</v>
      </c>
      <c r="AJ49" s="11"/>
      <c r="AK49" s="12" t="s">
        <v>384</v>
      </c>
      <c r="AL49" s="13" t="s">
        <v>385</v>
      </c>
      <c r="AM49" s="14">
        <v>0</v>
      </c>
      <c r="AN49" s="12" t="s">
        <v>384</v>
      </c>
      <c r="AO49" s="13" t="s">
        <v>385</v>
      </c>
      <c r="AP49" s="14">
        <v>0</v>
      </c>
    </row>
    <row r="50" spans="1:42" ht="28.05" customHeight="1" x14ac:dyDescent="0.3">
      <c r="A50" s="9">
        <v>46</v>
      </c>
      <c r="B50" s="9" t="s">
        <v>397</v>
      </c>
      <c r="C50" s="9" t="s">
        <v>142</v>
      </c>
      <c r="D50" s="10" t="s">
        <v>273</v>
      </c>
      <c r="E50" s="10" t="s">
        <v>274</v>
      </c>
      <c r="F50" s="9" t="s">
        <v>275</v>
      </c>
      <c r="G50" s="12" t="s">
        <v>384</v>
      </c>
      <c r="H50" s="13" t="s">
        <v>385</v>
      </c>
      <c r="I50" s="15">
        <v>0</v>
      </c>
      <c r="J50" s="12" t="s">
        <v>384</v>
      </c>
      <c r="K50" s="13" t="s">
        <v>385</v>
      </c>
      <c r="L50" s="15">
        <v>0</v>
      </c>
      <c r="M50" s="8" t="s">
        <v>386</v>
      </c>
      <c r="N50" s="13" t="s">
        <v>387</v>
      </c>
      <c r="O50" s="8"/>
      <c r="P50" s="8" t="s">
        <v>386</v>
      </c>
      <c r="Q50" s="13" t="s">
        <v>387</v>
      </c>
      <c r="R50" s="8"/>
      <c r="S50" s="8" t="s">
        <v>386</v>
      </c>
      <c r="T50" s="13" t="s">
        <v>387</v>
      </c>
      <c r="U50" s="8"/>
      <c r="V50" s="8" t="s">
        <v>386</v>
      </c>
      <c r="W50" s="13" t="s">
        <v>387</v>
      </c>
      <c r="X50" s="8"/>
      <c r="Y50" s="8" t="s">
        <v>386</v>
      </c>
      <c r="Z50" s="13" t="s">
        <v>387</v>
      </c>
      <c r="AA50" s="8"/>
      <c r="AB50" s="8" t="s">
        <v>386</v>
      </c>
      <c r="AC50" s="13" t="s">
        <v>387</v>
      </c>
      <c r="AD50" s="8"/>
      <c r="AE50" s="8" t="s">
        <v>386</v>
      </c>
      <c r="AF50" s="13" t="s">
        <v>387</v>
      </c>
      <c r="AG50" s="8"/>
      <c r="AH50" s="8" t="s">
        <v>386</v>
      </c>
      <c r="AI50" s="13" t="s">
        <v>387</v>
      </c>
      <c r="AJ50" s="8"/>
      <c r="AK50" s="8" t="s">
        <v>386</v>
      </c>
      <c r="AL50" s="13" t="s">
        <v>387</v>
      </c>
      <c r="AM50" s="8"/>
      <c r="AN50" s="8" t="s">
        <v>386</v>
      </c>
      <c r="AO50" s="13" t="s">
        <v>387</v>
      </c>
      <c r="AP50" s="8"/>
    </row>
    <row r="51" spans="1:42" ht="28.05" customHeight="1" x14ac:dyDescent="0.3">
      <c r="A51" s="5">
        <v>47</v>
      </c>
      <c r="B51" s="5" t="s">
        <v>397</v>
      </c>
      <c r="C51" s="5" t="s">
        <v>147</v>
      </c>
      <c r="D51" s="6" t="s">
        <v>276</v>
      </c>
      <c r="E51" s="6" t="s">
        <v>277</v>
      </c>
      <c r="F51" s="5" t="s">
        <v>176</v>
      </c>
      <c r="G51" s="11" t="s">
        <v>386</v>
      </c>
      <c r="H51" s="13" t="s">
        <v>387</v>
      </c>
      <c r="I51" s="11"/>
      <c r="J51" s="11" t="s">
        <v>386</v>
      </c>
      <c r="K51" s="13" t="s">
        <v>387</v>
      </c>
      <c r="L51" s="11"/>
      <c r="M51" s="12" t="s">
        <v>384</v>
      </c>
      <c r="N51" s="13" t="s">
        <v>385</v>
      </c>
      <c r="O51" s="14">
        <v>0</v>
      </c>
      <c r="P51" s="12" t="s">
        <v>384</v>
      </c>
      <c r="Q51" s="13" t="s">
        <v>385</v>
      </c>
      <c r="R51" s="14">
        <v>0</v>
      </c>
      <c r="S51" s="12" t="s">
        <v>384</v>
      </c>
      <c r="T51" s="13" t="s">
        <v>385</v>
      </c>
      <c r="U51" s="14">
        <v>0</v>
      </c>
      <c r="V51" s="11" t="s">
        <v>386</v>
      </c>
      <c r="W51" s="13" t="s">
        <v>387</v>
      </c>
      <c r="X51" s="11"/>
      <c r="Y51" s="11" t="s">
        <v>386</v>
      </c>
      <c r="Z51" s="13" t="s">
        <v>387</v>
      </c>
      <c r="AA51" s="11"/>
      <c r="AB51" s="11" t="s">
        <v>386</v>
      </c>
      <c r="AC51" s="13" t="s">
        <v>387</v>
      </c>
      <c r="AD51" s="11"/>
      <c r="AE51" s="11" t="s">
        <v>386</v>
      </c>
      <c r="AF51" s="13" t="s">
        <v>387</v>
      </c>
      <c r="AG51" s="11"/>
      <c r="AH51" s="11" t="s">
        <v>386</v>
      </c>
      <c r="AI51" s="13" t="s">
        <v>387</v>
      </c>
      <c r="AJ51" s="11"/>
      <c r="AK51" s="11" t="s">
        <v>386</v>
      </c>
      <c r="AL51" s="13" t="s">
        <v>387</v>
      </c>
      <c r="AM51" s="11"/>
      <c r="AN51" s="11" t="s">
        <v>386</v>
      </c>
      <c r="AO51" s="13" t="s">
        <v>387</v>
      </c>
      <c r="AP51" s="11"/>
    </row>
    <row r="52" spans="1:42" ht="28.05" customHeight="1" x14ac:dyDescent="0.3">
      <c r="A52" s="9">
        <v>48</v>
      </c>
      <c r="B52" s="9" t="s">
        <v>397</v>
      </c>
      <c r="C52" s="9" t="s">
        <v>151</v>
      </c>
      <c r="D52" s="10" t="s">
        <v>278</v>
      </c>
      <c r="E52" s="10" t="s">
        <v>279</v>
      </c>
      <c r="F52" s="9" t="s">
        <v>145</v>
      </c>
      <c r="G52" s="8" t="s">
        <v>386</v>
      </c>
      <c r="H52" s="13" t="s">
        <v>387</v>
      </c>
      <c r="I52" s="8"/>
      <c r="J52" s="8" t="s">
        <v>386</v>
      </c>
      <c r="K52" s="13" t="s">
        <v>387</v>
      </c>
      <c r="L52" s="8"/>
      <c r="M52" s="12" t="s">
        <v>384</v>
      </c>
      <c r="N52" s="13" t="s">
        <v>385</v>
      </c>
      <c r="O52" s="15">
        <v>0</v>
      </c>
      <c r="P52" s="12" t="s">
        <v>384</v>
      </c>
      <c r="Q52" s="13" t="s">
        <v>385</v>
      </c>
      <c r="R52" s="15">
        <v>0</v>
      </c>
      <c r="S52" s="12" t="s">
        <v>384</v>
      </c>
      <c r="T52" s="13" t="s">
        <v>385</v>
      </c>
      <c r="U52" s="15">
        <v>0</v>
      </c>
      <c r="V52" s="8" t="s">
        <v>386</v>
      </c>
      <c r="W52" s="13" t="s">
        <v>387</v>
      </c>
      <c r="X52" s="8"/>
      <c r="Y52" s="8" t="s">
        <v>386</v>
      </c>
      <c r="Z52" s="13" t="s">
        <v>387</v>
      </c>
      <c r="AA52" s="8"/>
      <c r="AB52" s="8" t="s">
        <v>386</v>
      </c>
      <c r="AC52" s="13" t="s">
        <v>387</v>
      </c>
      <c r="AD52" s="8"/>
      <c r="AE52" s="8" t="s">
        <v>386</v>
      </c>
      <c r="AF52" s="13" t="s">
        <v>387</v>
      </c>
      <c r="AG52" s="8"/>
      <c r="AH52" s="8" t="s">
        <v>386</v>
      </c>
      <c r="AI52" s="13" t="s">
        <v>387</v>
      </c>
      <c r="AJ52" s="8"/>
      <c r="AK52" s="8" t="s">
        <v>386</v>
      </c>
      <c r="AL52" s="13" t="s">
        <v>387</v>
      </c>
      <c r="AM52" s="8"/>
      <c r="AN52" s="8" t="s">
        <v>386</v>
      </c>
      <c r="AO52" s="13" t="s">
        <v>387</v>
      </c>
      <c r="AP52" s="8"/>
    </row>
    <row r="53" spans="1:42" ht="28.05" customHeight="1" x14ac:dyDescent="0.3">
      <c r="A53" s="5">
        <v>49</v>
      </c>
      <c r="B53" s="5" t="s">
        <v>397</v>
      </c>
      <c r="C53" s="5" t="s">
        <v>154</v>
      </c>
      <c r="D53" s="6" t="s">
        <v>280</v>
      </c>
      <c r="E53" s="6" t="s">
        <v>281</v>
      </c>
      <c r="F53" s="5" t="s">
        <v>176</v>
      </c>
      <c r="G53" s="11" t="s">
        <v>386</v>
      </c>
      <c r="H53" s="13" t="s">
        <v>387</v>
      </c>
      <c r="I53" s="11"/>
      <c r="J53" s="11" t="s">
        <v>386</v>
      </c>
      <c r="K53" s="13" t="s">
        <v>387</v>
      </c>
      <c r="L53" s="11"/>
      <c r="M53" s="11" t="s">
        <v>386</v>
      </c>
      <c r="N53" s="13" t="s">
        <v>387</v>
      </c>
      <c r="O53" s="11"/>
      <c r="P53" s="11" t="s">
        <v>386</v>
      </c>
      <c r="Q53" s="13" t="s">
        <v>387</v>
      </c>
      <c r="R53" s="11"/>
      <c r="S53" s="12" t="s">
        <v>384</v>
      </c>
      <c r="T53" s="13" t="s">
        <v>385</v>
      </c>
      <c r="U53" s="14">
        <v>0</v>
      </c>
      <c r="V53" s="11" t="s">
        <v>386</v>
      </c>
      <c r="W53" s="13" t="s">
        <v>387</v>
      </c>
      <c r="X53" s="11"/>
      <c r="Y53" s="11" t="s">
        <v>386</v>
      </c>
      <c r="Z53" s="13" t="s">
        <v>387</v>
      </c>
      <c r="AA53" s="11"/>
      <c r="AB53" s="11" t="s">
        <v>386</v>
      </c>
      <c r="AC53" s="13" t="s">
        <v>387</v>
      </c>
      <c r="AD53" s="11"/>
      <c r="AE53" s="11" t="s">
        <v>386</v>
      </c>
      <c r="AF53" s="13" t="s">
        <v>387</v>
      </c>
      <c r="AG53" s="11"/>
      <c r="AH53" s="11" t="s">
        <v>386</v>
      </c>
      <c r="AI53" s="13" t="s">
        <v>387</v>
      </c>
      <c r="AJ53" s="11"/>
      <c r="AK53" s="11" t="s">
        <v>386</v>
      </c>
      <c r="AL53" s="13" t="s">
        <v>387</v>
      </c>
      <c r="AM53" s="11"/>
      <c r="AN53" s="11" t="s">
        <v>386</v>
      </c>
      <c r="AO53" s="13" t="s">
        <v>387</v>
      </c>
      <c r="AP53" s="11"/>
    </row>
    <row r="54" spans="1:42" ht="28.05" customHeight="1" x14ac:dyDescent="0.3">
      <c r="A54" s="9">
        <v>50</v>
      </c>
      <c r="B54" s="9" t="s">
        <v>397</v>
      </c>
      <c r="C54" s="9" t="s">
        <v>167</v>
      </c>
      <c r="D54" s="10" t="s">
        <v>282</v>
      </c>
      <c r="E54" s="10" t="s">
        <v>283</v>
      </c>
      <c r="F54" s="9" t="s">
        <v>275</v>
      </c>
      <c r="G54" s="8" t="s">
        <v>386</v>
      </c>
      <c r="H54" s="13" t="s">
        <v>387</v>
      </c>
      <c r="I54" s="8"/>
      <c r="J54" s="8" t="s">
        <v>386</v>
      </c>
      <c r="K54" s="13" t="s">
        <v>387</v>
      </c>
      <c r="L54" s="8"/>
      <c r="M54" s="8" t="s">
        <v>386</v>
      </c>
      <c r="N54" s="13" t="s">
        <v>387</v>
      </c>
      <c r="O54" s="8"/>
      <c r="P54" s="8" t="s">
        <v>386</v>
      </c>
      <c r="Q54" s="13" t="s">
        <v>387</v>
      </c>
      <c r="R54" s="8"/>
      <c r="S54" s="12" t="s">
        <v>384</v>
      </c>
      <c r="T54" s="13" t="s">
        <v>385</v>
      </c>
      <c r="U54" s="15">
        <v>0</v>
      </c>
      <c r="V54" s="12" t="s">
        <v>384</v>
      </c>
      <c r="W54" s="13" t="s">
        <v>385</v>
      </c>
      <c r="X54" s="15">
        <v>0</v>
      </c>
      <c r="Y54" s="12" t="s">
        <v>384</v>
      </c>
      <c r="Z54" s="13" t="s">
        <v>385</v>
      </c>
      <c r="AA54" s="15">
        <v>0</v>
      </c>
      <c r="AB54" s="12" t="s">
        <v>384</v>
      </c>
      <c r="AC54" s="13" t="s">
        <v>385</v>
      </c>
      <c r="AD54" s="15">
        <v>0</v>
      </c>
      <c r="AE54" s="12" t="s">
        <v>384</v>
      </c>
      <c r="AF54" s="13" t="s">
        <v>385</v>
      </c>
      <c r="AG54" s="15">
        <v>0</v>
      </c>
      <c r="AH54" s="12" t="s">
        <v>384</v>
      </c>
      <c r="AI54" s="13" t="s">
        <v>385</v>
      </c>
      <c r="AJ54" s="15">
        <v>0</v>
      </c>
      <c r="AK54" s="12" t="s">
        <v>384</v>
      </c>
      <c r="AL54" s="13" t="s">
        <v>385</v>
      </c>
      <c r="AM54" s="15">
        <v>0</v>
      </c>
      <c r="AN54" s="12" t="s">
        <v>384</v>
      </c>
      <c r="AO54" s="13" t="s">
        <v>385</v>
      </c>
      <c r="AP54" s="15">
        <v>0</v>
      </c>
    </row>
    <row r="55" spans="1:42" ht="28.05" customHeight="1" x14ac:dyDescent="0.3">
      <c r="A55" s="5">
        <v>51</v>
      </c>
      <c r="B55" s="5" t="s">
        <v>398</v>
      </c>
      <c r="C55" s="5" t="s">
        <v>142</v>
      </c>
      <c r="D55" s="6" t="s">
        <v>287</v>
      </c>
      <c r="E55" s="6" t="s">
        <v>288</v>
      </c>
      <c r="F55" s="5" t="s">
        <v>289</v>
      </c>
      <c r="G55" s="11" t="s">
        <v>386</v>
      </c>
      <c r="H55" s="13" t="s">
        <v>387</v>
      </c>
      <c r="I55" s="11"/>
      <c r="J55" s="11" t="s">
        <v>386</v>
      </c>
      <c r="K55" s="13" t="s">
        <v>387</v>
      </c>
      <c r="L55" s="11"/>
      <c r="M55" s="12" t="s">
        <v>384</v>
      </c>
      <c r="N55" s="13" t="s">
        <v>385</v>
      </c>
      <c r="O55" s="14">
        <v>0</v>
      </c>
      <c r="P55" s="11" t="s">
        <v>386</v>
      </c>
      <c r="Q55" s="13" t="s">
        <v>387</v>
      </c>
      <c r="R55" s="11"/>
      <c r="S55" s="11" t="s">
        <v>386</v>
      </c>
      <c r="T55" s="13" t="s">
        <v>387</v>
      </c>
      <c r="U55" s="11"/>
      <c r="V55" s="11" t="s">
        <v>386</v>
      </c>
      <c r="W55" s="13" t="s">
        <v>387</v>
      </c>
      <c r="X55" s="11"/>
      <c r="Y55" s="11" t="s">
        <v>386</v>
      </c>
      <c r="Z55" s="13" t="s">
        <v>387</v>
      </c>
      <c r="AA55" s="11"/>
      <c r="AB55" s="11" t="s">
        <v>386</v>
      </c>
      <c r="AC55" s="13" t="s">
        <v>387</v>
      </c>
      <c r="AD55" s="11"/>
      <c r="AE55" s="11" t="s">
        <v>386</v>
      </c>
      <c r="AF55" s="13" t="s">
        <v>387</v>
      </c>
      <c r="AG55" s="11"/>
      <c r="AH55" s="11" t="s">
        <v>386</v>
      </c>
      <c r="AI55" s="13" t="s">
        <v>387</v>
      </c>
      <c r="AJ55" s="11"/>
      <c r="AK55" s="11" t="s">
        <v>386</v>
      </c>
      <c r="AL55" s="13" t="s">
        <v>387</v>
      </c>
      <c r="AM55" s="11"/>
      <c r="AN55" s="11" t="s">
        <v>386</v>
      </c>
      <c r="AO55" s="13" t="s">
        <v>387</v>
      </c>
      <c r="AP55" s="11"/>
    </row>
    <row r="56" spans="1:42" ht="28.05" customHeight="1" x14ac:dyDescent="0.3">
      <c r="A56" s="9">
        <v>52</v>
      </c>
      <c r="B56" s="9" t="s">
        <v>398</v>
      </c>
      <c r="C56" s="9" t="s">
        <v>147</v>
      </c>
      <c r="D56" s="10" t="s">
        <v>290</v>
      </c>
      <c r="E56" s="10" t="s">
        <v>291</v>
      </c>
      <c r="F56" s="9" t="s">
        <v>292</v>
      </c>
      <c r="G56" s="8" t="s">
        <v>386</v>
      </c>
      <c r="H56" s="13" t="s">
        <v>387</v>
      </c>
      <c r="I56" s="8"/>
      <c r="J56" s="8" t="s">
        <v>386</v>
      </c>
      <c r="K56" s="13" t="s">
        <v>387</v>
      </c>
      <c r="L56" s="8"/>
      <c r="M56" s="12" t="s">
        <v>384</v>
      </c>
      <c r="N56" s="13" t="s">
        <v>385</v>
      </c>
      <c r="O56" s="15">
        <v>0</v>
      </c>
      <c r="P56" s="12" t="s">
        <v>384</v>
      </c>
      <c r="Q56" s="13" t="s">
        <v>385</v>
      </c>
      <c r="R56" s="15">
        <v>0</v>
      </c>
      <c r="S56" s="8" t="s">
        <v>386</v>
      </c>
      <c r="T56" s="13" t="s">
        <v>387</v>
      </c>
      <c r="U56" s="8"/>
      <c r="V56" s="8" t="s">
        <v>386</v>
      </c>
      <c r="W56" s="13" t="s">
        <v>387</v>
      </c>
      <c r="X56" s="8"/>
      <c r="Y56" s="8" t="s">
        <v>386</v>
      </c>
      <c r="Z56" s="13" t="s">
        <v>387</v>
      </c>
      <c r="AA56" s="8"/>
      <c r="AB56" s="8" t="s">
        <v>386</v>
      </c>
      <c r="AC56" s="13" t="s">
        <v>387</v>
      </c>
      <c r="AD56" s="8"/>
      <c r="AE56" s="8" t="s">
        <v>386</v>
      </c>
      <c r="AF56" s="13" t="s">
        <v>387</v>
      </c>
      <c r="AG56" s="8"/>
      <c r="AH56" s="8" t="s">
        <v>386</v>
      </c>
      <c r="AI56" s="13" t="s">
        <v>387</v>
      </c>
      <c r="AJ56" s="8"/>
      <c r="AK56" s="8" t="s">
        <v>386</v>
      </c>
      <c r="AL56" s="13" t="s">
        <v>387</v>
      </c>
      <c r="AM56" s="8"/>
      <c r="AN56" s="8" t="s">
        <v>386</v>
      </c>
      <c r="AO56" s="13" t="s">
        <v>387</v>
      </c>
      <c r="AP56" s="8"/>
    </row>
    <row r="57" spans="1:42" ht="28.05" customHeight="1" x14ac:dyDescent="0.3">
      <c r="A57" s="5">
        <v>53</v>
      </c>
      <c r="B57" s="5" t="s">
        <v>398</v>
      </c>
      <c r="C57" s="5" t="s">
        <v>151</v>
      </c>
      <c r="D57" s="6" t="s">
        <v>293</v>
      </c>
      <c r="E57" s="6" t="s">
        <v>294</v>
      </c>
      <c r="F57" s="5" t="s">
        <v>292</v>
      </c>
      <c r="G57" s="11" t="s">
        <v>386</v>
      </c>
      <c r="H57" s="13" t="s">
        <v>387</v>
      </c>
      <c r="I57" s="11"/>
      <c r="J57" s="11" t="s">
        <v>386</v>
      </c>
      <c r="K57" s="13" t="s">
        <v>387</v>
      </c>
      <c r="L57" s="11"/>
      <c r="M57" s="11" t="s">
        <v>386</v>
      </c>
      <c r="N57" s="13" t="s">
        <v>387</v>
      </c>
      <c r="O57" s="11"/>
      <c r="P57" s="12" t="s">
        <v>384</v>
      </c>
      <c r="Q57" s="13" t="s">
        <v>385</v>
      </c>
      <c r="R57" s="14">
        <v>0</v>
      </c>
      <c r="S57" s="12" t="s">
        <v>384</v>
      </c>
      <c r="T57" s="13" t="s">
        <v>385</v>
      </c>
      <c r="U57" s="14">
        <v>0</v>
      </c>
      <c r="V57" s="12" t="s">
        <v>384</v>
      </c>
      <c r="W57" s="13" t="s">
        <v>385</v>
      </c>
      <c r="X57" s="14">
        <v>0</v>
      </c>
      <c r="Y57" s="12" t="s">
        <v>384</v>
      </c>
      <c r="Z57" s="13" t="s">
        <v>385</v>
      </c>
      <c r="AA57" s="14">
        <v>0</v>
      </c>
      <c r="AB57" s="12" t="s">
        <v>384</v>
      </c>
      <c r="AC57" s="13" t="s">
        <v>385</v>
      </c>
      <c r="AD57" s="14">
        <v>0</v>
      </c>
      <c r="AE57" s="12" t="s">
        <v>384</v>
      </c>
      <c r="AF57" s="13" t="s">
        <v>385</v>
      </c>
      <c r="AG57" s="14">
        <v>0</v>
      </c>
      <c r="AH57" s="12" t="s">
        <v>384</v>
      </c>
      <c r="AI57" s="13" t="s">
        <v>385</v>
      </c>
      <c r="AJ57" s="14">
        <v>0</v>
      </c>
      <c r="AK57" s="12" t="s">
        <v>384</v>
      </c>
      <c r="AL57" s="13" t="s">
        <v>385</v>
      </c>
      <c r="AM57" s="14">
        <v>0</v>
      </c>
      <c r="AN57" s="12" t="s">
        <v>384</v>
      </c>
      <c r="AO57" s="13" t="s">
        <v>385</v>
      </c>
      <c r="AP57" s="14">
        <v>0</v>
      </c>
    </row>
    <row r="58" spans="1:42" ht="28.05" customHeight="1" x14ac:dyDescent="0.3">
      <c r="A58" s="9">
        <v>54</v>
      </c>
      <c r="B58" s="9" t="s">
        <v>398</v>
      </c>
      <c r="C58" s="9" t="s">
        <v>154</v>
      </c>
      <c r="D58" s="10" t="s">
        <v>282</v>
      </c>
      <c r="E58" s="10" t="s">
        <v>295</v>
      </c>
      <c r="F58" s="9" t="s">
        <v>292</v>
      </c>
      <c r="G58" s="8" t="s">
        <v>386</v>
      </c>
      <c r="H58" s="13" t="s">
        <v>387</v>
      </c>
      <c r="I58" s="8"/>
      <c r="J58" s="8" t="s">
        <v>386</v>
      </c>
      <c r="K58" s="13" t="s">
        <v>387</v>
      </c>
      <c r="L58" s="8"/>
      <c r="M58" s="8" t="s">
        <v>386</v>
      </c>
      <c r="N58" s="13" t="s">
        <v>387</v>
      </c>
      <c r="O58" s="8"/>
      <c r="P58" s="8" t="s">
        <v>386</v>
      </c>
      <c r="Q58" s="13" t="s">
        <v>387</v>
      </c>
      <c r="R58" s="8"/>
      <c r="S58" s="12" t="s">
        <v>384</v>
      </c>
      <c r="T58" s="13" t="s">
        <v>385</v>
      </c>
      <c r="U58" s="15">
        <v>0</v>
      </c>
      <c r="V58" s="12" t="s">
        <v>384</v>
      </c>
      <c r="W58" s="13" t="s">
        <v>385</v>
      </c>
      <c r="X58" s="15">
        <v>0</v>
      </c>
      <c r="Y58" s="12" t="s">
        <v>384</v>
      </c>
      <c r="Z58" s="13" t="s">
        <v>385</v>
      </c>
      <c r="AA58" s="15">
        <v>0</v>
      </c>
      <c r="AB58" s="12" t="s">
        <v>384</v>
      </c>
      <c r="AC58" s="13" t="s">
        <v>385</v>
      </c>
      <c r="AD58" s="15">
        <v>0</v>
      </c>
      <c r="AE58" s="12" t="s">
        <v>384</v>
      </c>
      <c r="AF58" s="13" t="s">
        <v>385</v>
      </c>
      <c r="AG58" s="15">
        <v>0</v>
      </c>
      <c r="AH58" s="12" t="s">
        <v>384</v>
      </c>
      <c r="AI58" s="13" t="s">
        <v>385</v>
      </c>
      <c r="AJ58" s="15">
        <v>0</v>
      </c>
      <c r="AK58" s="12" t="s">
        <v>384</v>
      </c>
      <c r="AL58" s="13" t="s">
        <v>385</v>
      </c>
      <c r="AM58" s="15">
        <v>0</v>
      </c>
      <c r="AN58" s="12" t="s">
        <v>384</v>
      </c>
      <c r="AO58" s="13" t="s">
        <v>385</v>
      </c>
      <c r="AP58" s="15">
        <v>0</v>
      </c>
    </row>
    <row r="59" spans="1:42" ht="28.05" customHeight="1" x14ac:dyDescent="0.3">
      <c r="A59" s="5">
        <v>55</v>
      </c>
      <c r="B59" s="5" t="s">
        <v>399</v>
      </c>
      <c r="C59" s="5" t="s">
        <v>142</v>
      </c>
      <c r="D59" s="6" t="s">
        <v>298</v>
      </c>
      <c r="E59" s="6" t="s">
        <v>299</v>
      </c>
      <c r="F59" s="5" t="s">
        <v>300</v>
      </c>
      <c r="G59" s="11" t="s">
        <v>386</v>
      </c>
      <c r="H59" s="13" t="s">
        <v>387</v>
      </c>
      <c r="I59" s="11"/>
      <c r="J59" s="11" t="s">
        <v>386</v>
      </c>
      <c r="K59" s="13" t="s">
        <v>387</v>
      </c>
      <c r="L59" s="11"/>
      <c r="M59" s="12" t="s">
        <v>384</v>
      </c>
      <c r="N59" s="13" t="s">
        <v>385</v>
      </c>
      <c r="O59" s="14">
        <v>0</v>
      </c>
      <c r="P59" s="11" t="s">
        <v>386</v>
      </c>
      <c r="Q59" s="13" t="s">
        <v>387</v>
      </c>
      <c r="R59" s="11"/>
      <c r="S59" s="11" t="s">
        <v>386</v>
      </c>
      <c r="T59" s="13" t="s">
        <v>387</v>
      </c>
      <c r="U59" s="11"/>
      <c r="V59" s="11" t="s">
        <v>386</v>
      </c>
      <c r="W59" s="13" t="s">
        <v>387</v>
      </c>
      <c r="X59" s="11"/>
      <c r="Y59" s="11" t="s">
        <v>386</v>
      </c>
      <c r="Z59" s="13" t="s">
        <v>387</v>
      </c>
      <c r="AA59" s="11"/>
      <c r="AB59" s="11" t="s">
        <v>386</v>
      </c>
      <c r="AC59" s="13" t="s">
        <v>387</v>
      </c>
      <c r="AD59" s="11"/>
      <c r="AE59" s="11" t="s">
        <v>386</v>
      </c>
      <c r="AF59" s="13" t="s">
        <v>387</v>
      </c>
      <c r="AG59" s="11"/>
      <c r="AH59" s="11" t="s">
        <v>386</v>
      </c>
      <c r="AI59" s="13" t="s">
        <v>387</v>
      </c>
      <c r="AJ59" s="11"/>
      <c r="AK59" s="11" t="s">
        <v>386</v>
      </c>
      <c r="AL59" s="13" t="s">
        <v>387</v>
      </c>
      <c r="AM59" s="11"/>
      <c r="AN59" s="11" t="s">
        <v>386</v>
      </c>
      <c r="AO59" s="13" t="s">
        <v>387</v>
      </c>
      <c r="AP59" s="11"/>
    </row>
    <row r="60" spans="1:42" ht="28.05" customHeight="1" x14ac:dyDescent="0.3">
      <c r="A60" s="9">
        <v>56</v>
      </c>
      <c r="B60" s="9" t="s">
        <v>399</v>
      </c>
      <c r="C60" s="9" t="s">
        <v>147</v>
      </c>
      <c r="D60" s="10" t="s">
        <v>301</v>
      </c>
      <c r="E60" s="10" t="s">
        <v>302</v>
      </c>
      <c r="F60" s="9" t="s">
        <v>303</v>
      </c>
      <c r="G60" s="8" t="s">
        <v>386</v>
      </c>
      <c r="H60" s="13" t="s">
        <v>387</v>
      </c>
      <c r="I60" s="8"/>
      <c r="J60" s="8" t="s">
        <v>386</v>
      </c>
      <c r="K60" s="13" t="s">
        <v>387</v>
      </c>
      <c r="L60" s="8"/>
      <c r="M60" s="12" t="s">
        <v>384</v>
      </c>
      <c r="N60" s="13" t="s">
        <v>385</v>
      </c>
      <c r="O60" s="15">
        <v>0</v>
      </c>
      <c r="P60" s="12" t="s">
        <v>384</v>
      </c>
      <c r="Q60" s="13" t="s">
        <v>385</v>
      </c>
      <c r="R60" s="15">
        <v>0</v>
      </c>
      <c r="S60" s="8" t="s">
        <v>386</v>
      </c>
      <c r="T60" s="13" t="s">
        <v>387</v>
      </c>
      <c r="U60" s="8"/>
      <c r="V60" s="8" t="s">
        <v>386</v>
      </c>
      <c r="W60" s="13" t="s">
        <v>387</v>
      </c>
      <c r="X60" s="8"/>
      <c r="Y60" s="8" t="s">
        <v>386</v>
      </c>
      <c r="Z60" s="13" t="s">
        <v>387</v>
      </c>
      <c r="AA60" s="8"/>
      <c r="AB60" s="8" t="s">
        <v>386</v>
      </c>
      <c r="AC60" s="13" t="s">
        <v>387</v>
      </c>
      <c r="AD60" s="8"/>
      <c r="AE60" s="8" t="s">
        <v>386</v>
      </c>
      <c r="AF60" s="13" t="s">
        <v>387</v>
      </c>
      <c r="AG60" s="8"/>
      <c r="AH60" s="8" t="s">
        <v>386</v>
      </c>
      <c r="AI60" s="13" t="s">
        <v>387</v>
      </c>
      <c r="AJ60" s="8"/>
      <c r="AK60" s="8" t="s">
        <v>386</v>
      </c>
      <c r="AL60" s="13" t="s">
        <v>387</v>
      </c>
      <c r="AM60" s="8"/>
      <c r="AN60" s="8" t="s">
        <v>386</v>
      </c>
      <c r="AO60" s="13" t="s">
        <v>387</v>
      </c>
      <c r="AP60" s="8"/>
    </row>
    <row r="61" spans="1:42" ht="28.05" customHeight="1" x14ac:dyDescent="0.3">
      <c r="A61" s="5">
        <v>57</v>
      </c>
      <c r="B61" s="5" t="s">
        <v>399</v>
      </c>
      <c r="C61" s="5" t="s">
        <v>151</v>
      </c>
      <c r="D61" s="6" t="s">
        <v>304</v>
      </c>
      <c r="E61" s="6" t="s">
        <v>305</v>
      </c>
      <c r="F61" s="5" t="s">
        <v>292</v>
      </c>
      <c r="G61" s="11" t="s">
        <v>386</v>
      </c>
      <c r="H61" s="13" t="s">
        <v>387</v>
      </c>
      <c r="I61" s="11"/>
      <c r="J61" s="11" t="s">
        <v>386</v>
      </c>
      <c r="K61" s="13" t="s">
        <v>387</v>
      </c>
      <c r="L61" s="11"/>
      <c r="M61" s="11" t="s">
        <v>386</v>
      </c>
      <c r="N61" s="13" t="s">
        <v>387</v>
      </c>
      <c r="O61" s="11"/>
      <c r="P61" s="12" t="s">
        <v>384</v>
      </c>
      <c r="Q61" s="13" t="s">
        <v>385</v>
      </c>
      <c r="R61" s="14">
        <v>0</v>
      </c>
      <c r="S61" s="12" t="s">
        <v>384</v>
      </c>
      <c r="T61" s="13" t="s">
        <v>385</v>
      </c>
      <c r="U61" s="14">
        <v>0</v>
      </c>
      <c r="V61" s="12" t="s">
        <v>384</v>
      </c>
      <c r="W61" s="13" t="s">
        <v>385</v>
      </c>
      <c r="X61" s="14">
        <v>0</v>
      </c>
      <c r="Y61" s="12" t="s">
        <v>384</v>
      </c>
      <c r="Z61" s="13" t="s">
        <v>385</v>
      </c>
      <c r="AA61" s="14">
        <v>0</v>
      </c>
      <c r="AB61" s="12" t="s">
        <v>384</v>
      </c>
      <c r="AC61" s="13" t="s">
        <v>385</v>
      </c>
      <c r="AD61" s="14">
        <v>0</v>
      </c>
      <c r="AE61" s="12" t="s">
        <v>384</v>
      </c>
      <c r="AF61" s="13" t="s">
        <v>385</v>
      </c>
      <c r="AG61" s="14">
        <v>0</v>
      </c>
      <c r="AH61" s="12" t="s">
        <v>384</v>
      </c>
      <c r="AI61" s="13" t="s">
        <v>385</v>
      </c>
      <c r="AJ61" s="14">
        <v>0</v>
      </c>
      <c r="AK61" s="12" t="s">
        <v>384</v>
      </c>
      <c r="AL61" s="13" t="s">
        <v>385</v>
      </c>
      <c r="AM61" s="14">
        <v>0</v>
      </c>
      <c r="AN61" s="12" t="s">
        <v>384</v>
      </c>
      <c r="AO61" s="13" t="s">
        <v>385</v>
      </c>
      <c r="AP61" s="14">
        <v>0</v>
      </c>
    </row>
    <row r="62" spans="1:42" ht="28.05" customHeight="1" x14ac:dyDescent="0.3">
      <c r="A62" s="9">
        <v>58</v>
      </c>
      <c r="B62" s="9" t="s">
        <v>399</v>
      </c>
      <c r="C62" s="9" t="s">
        <v>154</v>
      </c>
      <c r="D62" s="10" t="s">
        <v>306</v>
      </c>
      <c r="E62" s="10" t="s">
        <v>307</v>
      </c>
      <c r="F62" s="9" t="s">
        <v>145</v>
      </c>
      <c r="G62" s="8" t="s">
        <v>386</v>
      </c>
      <c r="H62" s="13" t="s">
        <v>387</v>
      </c>
      <c r="I62" s="8"/>
      <c r="J62" s="8" t="s">
        <v>386</v>
      </c>
      <c r="K62" s="13" t="s">
        <v>387</v>
      </c>
      <c r="L62" s="8"/>
      <c r="M62" s="8" t="s">
        <v>386</v>
      </c>
      <c r="N62" s="13" t="s">
        <v>387</v>
      </c>
      <c r="O62" s="8"/>
      <c r="P62" s="8" t="s">
        <v>386</v>
      </c>
      <c r="Q62" s="13" t="s">
        <v>387</v>
      </c>
      <c r="R62" s="8"/>
      <c r="S62" s="12" t="s">
        <v>384</v>
      </c>
      <c r="T62" s="13" t="s">
        <v>385</v>
      </c>
      <c r="U62" s="15">
        <v>0</v>
      </c>
      <c r="V62" s="12" t="s">
        <v>384</v>
      </c>
      <c r="W62" s="13" t="s">
        <v>385</v>
      </c>
      <c r="X62" s="15">
        <v>0</v>
      </c>
      <c r="Y62" s="12" t="s">
        <v>384</v>
      </c>
      <c r="Z62" s="13" t="s">
        <v>385</v>
      </c>
      <c r="AA62" s="15">
        <v>0</v>
      </c>
      <c r="AB62" s="12" t="s">
        <v>384</v>
      </c>
      <c r="AC62" s="13" t="s">
        <v>385</v>
      </c>
      <c r="AD62" s="15">
        <v>0</v>
      </c>
      <c r="AE62" s="12" t="s">
        <v>384</v>
      </c>
      <c r="AF62" s="13" t="s">
        <v>385</v>
      </c>
      <c r="AG62" s="15">
        <v>0</v>
      </c>
      <c r="AH62" s="12" t="s">
        <v>384</v>
      </c>
      <c r="AI62" s="13" t="s">
        <v>385</v>
      </c>
      <c r="AJ62" s="15">
        <v>0</v>
      </c>
      <c r="AK62" s="12" t="s">
        <v>384</v>
      </c>
      <c r="AL62" s="13" t="s">
        <v>385</v>
      </c>
      <c r="AM62" s="15">
        <v>0</v>
      </c>
      <c r="AN62" s="12" t="s">
        <v>384</v>
      </c>
      <c r="AO62" s="13" t="s">
        <v>385</v>
      </c>
      <c r="AP62" s="15">
        <v>0</v>
      </c>
    </row>
    <row r="63" spans="1:42" ht="28.05" customHeight="1" x14ac:dyDescent="0.3">
      <c r="A63" s="5">
        <v>59</v>
      </c>
      <c r="B63" s="5" t="s">
        <v>400</v>
      </c>
      <c r="C63" s="5" t="s">
        <v>142</v>
      </c>
      <c r="D63" s="6" t="s">
        <v>310</v>
      </c>
      <c r="E63" s="6" t="s">
        <v>311</v>
      </c>
      <c r="F63" s="5" t="s">
        <v>300</v>
      </c>
      <c r="G63" s="11" t="s">
        <v>386</v>
      </c>
      <c r="H63" s="13" t="s">
        <v>387</v>
      </c>
      <c r="I63" s="11"/>
      <c r="J63" s="11" t="s">
        <v>386</v>
      </c>
      <c r="K63" s="13" t="s">
        <v>387</v>
      </c>
      <c r="L63" s="11"/>
      <c r="M63" s="12" t="s">
        <v>384</v>
      </c>
      <c r="N63" s="13" t="s">
        <v>385</v>
      </c>
      <c r="O63" s="14">
        <v>0</v>
      </c>
      <c r="P63" s="11" t="s">
        <v>386</v>
      </c>
      <c r="Q63" s="13" t="s">
        <v>387</v>
      </c>
      <c r="R63" s="11"/>
      <c r="S63" s="11" t="s">
        <v>386</v>
      </c>
      <c r="T63" s="13" t="s">
        <v>387</v>
      </c>
      <c r="U63" s="11"/>
      <c r="V63" s="11" t="s">
        <v>386</v>
      </c>
      <c r="W63" s="13" t="s">
        <v>387</v>
      </c>
      <c r="X63" s="11"/>
      <c r="Y63" s="11" t="s">
        <v>386</v>
      </c>
      <c r="Z63" s="13" t="s">
        <v>387</v>
      </c>
      <c r="AA63" s="11"/>
      <c r="AB63" s="11" t="s">
        <v>386</v>
      </c>
      <c r="AC63" s="13" t="s">
        <v>387</v>
      </c>
      <c r="AD63" s="11"/>
      <c r="AE63" s="11" t="s">
        <v>386</v>
      </c>
      <c r="AF63" s="13" t="s">
        <v>387</v>
      </c>
      <c r="AG63" s="11"/>
      <c r="AH63" s="11" t="s">
        <v>386</v>
      </c>
      <c r="AI63" s="13" t="s">
        <v>387</v>
      </c>
      <c r="AJ63" s="11"/>
      <c r="AK63" s="11" t="s">
        <v>386</v>
      </c>
      <c r="AL63" s="13" t="s">
        <v>387</v>
      </c>
      <c r="AM63" s="11"/>
      <c r="AN63" s="11" t="s">
        <v>386</v>
      </c>
      <c r="AO63" s="13" t="s">
        <v>387</v>
      </c>
      <c r="AP63" s="11"/>
    </row>
    <row r="64" spans="1:42" ht="28.05" customHeight="1" x14ac:dyDescent="0.3">
      <c r="A64" s="9">
        <v>60</v>
      </c>
      <c r="B64" s="9" t="s">
        <v>400</v>
      </c>
      <c r="C64" s="9" t="s">
        <v>147</v>
      </c>
      <c r="D64" s="10" t="s">
        <v>312</v>
      </c>
      <c r="E64" s="10" t="s">
        <v>313</v>
      </c>
      <c r="F64" s="9" t="s">
        <v>314</v>
      </c>
      <c r="G64" s="8" t="s">
        <v>386</v>
      </c>
      <c r="H64" s="13" t="s">
        <v>387</v>
      </c>
      <c r="I64" s="8"/>
      <c r="J64" s="8" t="s">
        <v>386</v>
      </c>
      <c r="K64" s="13" t="s">
        <v>387</v>
      </c>
      <c r="L64" s="8"/>
      <c r="M64" s="12" t="s">
        <v>384</v>
      </c>
      <c r="N64" s="13" t="s">
        <v>385</v>
      </c>
      <c r="O64" s="15">
        <v>0</v>
      </c>
      <c r="P64" s="12" t="s">
        <v>384</v>
      </c>
      <c r="Q64" s="13" t="s">
        <v>385</v>
      </c>
      <c r="R64" s="15">
        <v>0</v>
      </c>
      <c r="S64" s="12" t="s">
        <v>384</v>
      </c>
      <c r="T64" s="13" t="s">
        <v>385</v>
      </c>
      <c r="U64" s="15">
        <v>0</v>
      </c>
      <c r="V64" s="12" t="s">
        <v>384</v>
      </c>
      <c r="W64" s="13" t="s">
        <v>385</v>
      </c>
      <c r="X64" s="15">
        <v>0</v>
      </c>
      <c r="Y64" s="12" t="s">
        <v>384</v>
      </c>
      <c r="Z64" s="13" t="s">
        <v>385</v>
      </c>
      <c r="AA64" s="15">
        <v>0</v>
      </c>
      <c r="AB64" s="12" t="s">
        <v>384</v>
      </c>
      <c r="AC64" s="13" t="s">
        <v>385</v>
      </c>
      <c r="AD64" s="15">
        <v>0</v>
      </c>
      <c r="AE64" s="12" t="s">
        <v>384</v>
      </c>
      <c r="AF64" s="13" t="s">
        <v>385</v>
      </c>
      <c r="AG64" s="15">
        <v>0</v>
      </c>
      <c r="AH64" s="12" t="s">
        <v>384</v>
      </c>
      <c r="AI64" s="13" t="s">
        <v>385</v>
      </c>
      <c r="AJ64" s="15">
        <v>0</v>
      </c>
      <c r="AK64" s="12" t="s">
        <v>384</v>
      </c>
      <c r="AL64" s="13" t="s">
        <v>385</v>
      </c>
      <c r="AM64" s="15">
        <v>0</v>
      </c>
      <c r="AN64" s="12" t="s">
        <v>384</v>
      </c>
      <c r="AO64" s="13" t="s">
        <v>385</v>
      </c>
      <c r="AP64" s="15">
        <v>0</v>
      </c>
    </row>
    <row r="65" spans="1:42" ht="28.05" customHeight="1" x14ac:dyDescent="0.3">
      <c r="A65" s="5">
        <v>61</v>
      </c>
      <c r="B65" s="5" t="s">
        <v>401</v>
      </c>
      <c r="C65" s="5" t="s">
        <v>142</v>
      </c>
      <c r="D65" s="6" t="s">
        <v>318</v>
      </c>
      <c r="E65" s="6" t="s">
        <v>319</v>
      </c>
      <c r="F65" s="5" t="s">
        <v>320</v>
      </c>
      <c r="G65" s="11" t="s">
        <v>386</v>
      </c>
      <c r="H65" s="13" t="s">
        <v>387</v>
      </c>
      <c r="I65" s="11"/>
      <c r="J65" s="12" t="s">
        <v>384</v>
      </c>
      <c r="K65" s="13" t="s">
        <v>385</v>
      </c>
      <c r="L65" s="14">
        <v>0</v>
      </c>
      <c r="M65" s="11" t="s">
        <v>386</v>
      </c>
      <c r="N65" s="13" t="s">
        <v>387</v>
      </c>
      <c r="O65" s="11"/>
      <c r="P65" s="12" t="s">
        <v>384</v>
      </c>
      <c r="Q65" s="13" t="s">
        <v>385</v>
      </c>
      <c r="R65" s="14">
        <v>0</v>
      </c>
      <c r="S65" s="11" t="s">
        <v>386</v>
      </c>
      <c r="T65" s="13" t="s">
        <v>387</v>
      </c>
      <c r="U65" s="11"/>
      <c r="V65" s="11" t="s">
        <v>386</v>
      </c>
      <c r="W65" s="13" t="s">
        <v>387</v>
      </c>
      <c r="X65" s="11"/>
      <c r="Y65" s="11" t="s">
        <v>386</v>
      </c>
      <c r="Z65" s="13" t="s">
        <v>387</v>
      </c>
      <c r="AA65" s="11"/>
      <c r="AB65" s="11" t="s">
        <v>386</v>
      </c>
      <c r="AC65" s="13" t="s">
        <v>387</v>
      </c>
      <c r="AD65" s="11"/>
      <c r="AE65" s="11" t="s">
        <v>386</v>
      </c>
      <c r="AF65" s="13" t="s">
        <v>387</v>
      </c>
      <c r="AG65" s="11"/>
      <c r="AH65" s="11" t="s">
        <v>386</v>
      </c>
      <c r="AI65" s="13" t="s">
        <v>387</v>
      </c>
      <c r="AJ65" s="11"/>
      <c r="AK65" s="11" t="s">
        <v>386</v>
      </c>
      <c r="AL65" s="13" t="s">
        <v>387</v>
      </c>
      <c r="AM65" s="11"/>
      <c r="AN65" s="11" t="s">
        <v>386</v>
      </c>
      <c r="AO65" s="13" t="s">
        <v>387</v>
      </c>
      <c r="AP65" s="11"/>
    </row>
    <row r="66" spans="1:42" ht="28.05" customHeight="1" x14ac:dyDescent="0.3">
      <c r="A66" s="9">
        <v>62</v>
      </c>
      <c r="B66" s="9" t="s">
        <v>401</v>
      </c>
      <c r="C66" s="9" t="s">
        <v>147</v>
      </c>
      <c r="D66" s="10" t="s">
        <v>321</v>
      </c>
      <c r="E66" s="10" t="s">
        <v>322</v>
      </c>
      <c r="F66" s="9" t="s">
        <v>145</v>
      </c>
      <c r="G66" s="8" t="s">
        <v>386</v>
      </c>
      <c r="H66" s="13" t="s">
        <v>387</v>
      </c>
      <c r="I66" s="8"/>
      <c r="J66" s="12" t="s">
        <v>384</v>
      </c>
      <c r="K66" s="13" t="s">
        <v>385</v>
      </c>
      <c r="L66" s="15">
        <v>0</v>
      </c>
      <c r="M66" s="8" t="s">
        <v>386</v>
      </c>
      <c r="N66" s="13" t="s">
        <v>387</v>
      </c>
      <c r="O66" s="8"/>
      <c r="P66" s="12" t="s">
        <v>384</v>
      </c>
      <c r="Q66" s="13" t="s">
        <v>385</v>
      </c>
      <c r="R66" s="15">
        <v>0</v>
      </c>
      <c r="S66" s="8" t="s">
        <v>386</v>
      </c>
      <c r="T66" s="13" t="s">
        <v>387</v>
      </c>
      <c r="U66" s="8"/>
      <c r="V66" s="8" t="s">
        <v>386</v>
      </c>
      <c r="W66" s="13" t="s">
        <v>387</v>
      </c>
      <c r="X66" s="8"/>
      <c r="Y66" s="8" t="s">
        <v>386</v>
      </c>
      <c r="Z66" s="13" t="s">
        <v>387</v>
      </c>
      <c r="AA66" s="8"/>
      <c r="AB66" s="8" t="s">
        <v>386</v>
      </c>
      <c r="AC66" s="13" t="s">
        <v>387</v>
      </c>
      <c r="AD66" s="8"/>
      <c r="AE66" s="8" t="s">
        <v>386</v>
      </c>
      <c r="AF66" s="13" t="s">
        <v>387</v>
      </c>
      <c r="AG66" s="8"/>
      <c r="AH66" s="8" t="s">
        <v>386</v>
      </c>
      <c r="AI66" s="13" t="s">
        <v>387</v>
      </c>
      <c r="AJ66" s="8"/>
      <c r="AK66" s="8" t="s">
        <v>386</v>
      </c>
      <c r="AL66" s="13" t="s">
        <v>387</v>
      </c>
      <c r="AM66" s="8"/>
      <c r="AN66" s="8" t="s">
        <v>386</v>
      </c>
      <c r="AO66" s="13" t="s">
        <v>387</v>
      </c>
      <c r="AP66" s="8"/>
    </row>
    <row r="67" spans="1:42" ht="28.05" customHeight="1" x14ac:dyDescent="0.3">
      <c r="A67" s="5">
        <v>63</v>
      </c>
      <c r="B67" s="5" t="s">
        <v>401</v>
      </c>
      <c r="C67" s="5" t="s">
        <v>151</v>
      </c>
      <c r="D67" s="6" t="s">
        <v>323</v>
      </c>
      <c r="E67" s="6" t="s">
        <v>324</v>
      </c>
      <c r="F67" s="5" t="s">
        <v>145</v>
      </c>
      <c r="G67" s="11" t="s">
        <v>386</v>
      </c>
      <c r="H67" s="13" t="s">
        <v>387</v>
      </c>
      <c r="I67" s="11"/>
      <c r="J67" s="12" t="s">
        <v>384</v>
      </c>
      <c r="K67" s="13" t="s">
        <v>385</v>
      </c>
      <c r="L67" s="14">
        <v>0</v>
      </c>
      <c r="M67" s="11" t="s">
        <v>386</v>
      </c>
      <c r="N67" s="13" t="s">
        <v>387</v>
      </c>
      <c r="O67" s="11"/>
      <c r="P67" s="12" t="s">
        <v>384</v>
      </c>
      <c r="Q67" s="13" t="s">
        <v>385</v>
      </c>
      <c r="R67" s="14">
        <v>0</v>
      </c>
      <c r="S67" s="11" t="s">
        <v>386</v>
      </c>
      <c r="T67" s="13" t="s">
        <v>387</v>
      </c>
      <c r="U67" s="11"/>
      <c r="V67" s="11" t="s">
        <v>386</v>
      </c>
      <c r="W67" s="13" t="s">
        <v>387</v>
      </c>
      <c r="X67" s="11"/>
      <c r="Y67" s="11" t="s">
        <v>386</v>
      </c>
      <c r="Z67" s="13" t="s">
        <v>387</v>
      </c>
      <c r="AA67" s="11"/>
      <c r="AB67" s="11" t="s">
        <v>386</v>
      </c>
      <c r="AC67" s="13" t="s">
        <v>387</v>
      </c>
      <c r="AD67" s="11"/>
      <c r="AE67" s="11" t="s">
        <v>386</v>
      </c>
      <c r="AF67" s="13" t="s">
        <v>387</v>
      </c>
      <c r="AG67" s="11"/>
      <c r="AH67" s="11" t="s">
        <v>386</v>
      </c>
      <c r="AI67" s="13" t="s">
        <v>387</v>
      </c>
      <c r="AJ67" s="11"/>
      <c r="AK67" s="11" t="s">
        <v>386</v>
      </c>
      <c r="AL67" s="13" t="s">
        <v>387</v>
      </c>
      <c r="AM67" s="11"/>
      <c r="AN67" s="11" t="s">
        <v>386</v>
      </c>
      <c r="AO67" s="13" t="s">
        <v>387</v>
      </c>
      <c r="AP67" s="11"/>
    </row>
    <row r="68" spans="1:42" ht="28.05" customHeight="1" x14ac:dyDescent="0.3">
      <c r="A68" s="9">
        <v>64</v>
      </c>
      <c r="B68" s="9" t="s">
        <v>401</v>
      </c>
      <c r="C68" s="9" t="s">
        <v>154</v>
      </c>
      <c r="D68" s="10" t="s">
        <v>325</v>
      </c>
      <c r="E68" s="10" t="s">
        <v>326</v>
      </c>
      <c r="F68" s="9" t="s">
        <v>320</v>
      </c>
      <c r="G68" s="8" t="s">
        <v>386</v>
      </c>
      <c r="H68" s="13" t="s">
        <v>387</v>
      </c>
      <c r="I68" s="8"/>
      <c r="J68" s="12" t="s">
        <v>384</v>
      </c>
      <c r="K68" s="13" t="s">
        <v>385</v>
      </c>
      <c r="L68" s="15">
        <v>0</v>
      </c>
      <c r="M68" s="12" t="s">
        <v>384</v>
      </c>
      <c r="N68" s="13" t="s">
        <v>385</v>
      </c>
      <c r="O68" s="15">
        <v>0</v>
      </c>
      <c r="P68" s="12" t="s">
        <v>384</v>
      </c>
      <c r="Q68" s="13" t="s">
        <v>385</v>
      </c>
      <c r="R68" s="15">
        <v>0</v>
      </c>
      <c r="S68" s="12" t="s">
        <v>384</v>
      </c>
      <c r="T68" s="13" t="s">
        <v>385</v>
      </c>
      <c r="U68" s="15">
        <v>0</v>
      </c>
      <c r="V68" s="8" t="s">
        <v>386</v>
      </c>
      <c r="W68" s="13" t="s">
        <v>387</v>
      </c>
      <c r="X68" s="8"/>
      <c r="Y68" s="8" t="s">
        <v>386</v>
      </c>
      <c r="Z68" s="13" t="s">
        <v>387</v>
      </c>
      <c r="AA68" s="8"/>
      <c r="AB68" s="8" t="s">
        <v>386</v>
      </c>
      <c r="AC68" s="13" t="s">
        <v>387</v>
      </c>
      <c r="AD68" s="8"/>
      <c r="AE68" s="8" t="s">
        <v>386</v>
      </c>
      <c r="AF68" s="13" t="s">
        <v>387</v>
      </c>
      <c r="AG68" s="8"/>
      <c r="AH68" s="8" t="s">
        <v>386</v>
      </c>
      <c r="AI68" s="13" t="s">
        <v>387</v>
      </c>
      <c r="AJ68" s="8"/>
      <c r="AK68" s="8" t="s">
        <v>386</v>
      </c>
      <c r="AL68" s="13" t="s">
        <v>387</v>
      </c>
      <c r="AM68" s="8"/>
      <c r="AN68" s="8" t="s">
        <v>386</v>
      </c>
      <c r="AO68" s="13" t="s">
        <v>387</v>
      </c>
      <c r="AP68" s="8"/>
    </row>
    <row r="69" spans="1:42" ht="28.05" customHeight="1" x14ac:dyDescent="0.3">
      <c r="A69" s="5">
        <v>65</v>
      </c>
      <c r="B69" s="5" t="s">
        <v>402</v>
      </c>
      <c r="C69" s="5" t="s">
        <v>142</v>
      </c>
      <c r="D69" s="6" t="s">
        <v>330</v>
      </c>
      <c r="E69" s="6" t="s">
        <v>331</v>
      </c>
      <c r="F69" s="5" t="s">
        <v>332</v>
      </c>
      <c r="G69" s="11" t="s">
        <v>386</v>
      </c>
      <c r="H69" s="13" t="s">
        <v>387</v>
      </c>
      <c r="I69" s="11"/>
      <c r="J69" s="11" t="s">
        <v>386</v>
      </c>
      <c r="K69" s="13" t="s">
        <v>387</v>
      </c>
      <c r="L69" s="11"/>
      <c r="M69" s="12" t="s">
        <v>384</v>
      </c>
      <c r="N69" s="13" t="s">
        <v>385</v>
      </c>
      <c r="O69" s="14">
        <v>0</v>
      </c>
      <c r="P69" s="12" t="s">
        <v>384</v>
      </c>
      <c r="Q69" s="13" t="s">
        <v>385</v>
      </c>
      <c r="R69" s="14">
        <v>0</v>
      </c>
      <c r="S69" s="11" t="s">
        <v>386</v>
      </c>
      <c r="T69" s="13" t="s">
        <v>387</v>
      </c>
      <c r="U69" s="11"/>
      <c r="V69" s="11" t="s">
        <v>386</v>
      </c>
      <c r="W69" s="13" t="s">
        <v>387</v>
      </c>
      <c r="X69" s="11"/>
      <c r="Y69" s="11" t="s">
        <v>386</v>
      </c>
      <c r="Z69" s="13" t="s">
        <v>387</v>
      </c>
      <c r="AA69" s="11"/>
      <c r="AB69" s="11" t="s">
        <v>386</v>
      </c>
      <c r="AC69" s="13" t="s">
        <v>387</v>
      </c>
      <c r="AD69" s="11"/>
      <c r="AE69" s="11" t="s">
        <v>386</v>
      </c>
      <c r="AF69" s="13" t="s">
        <v>387</v>
      </c>
      <c r="AG69" s="11"/>
      <c r="AH69" s="11" t="s">
        <v>386</v>
      </c>
      <c r="AI69" s="13" t="s">
        <v>387</v>
      </c>
      <c r="AJ69" s="11"/>
      <c r="AK69" s="11" t="s">
        <v>386</v>
      </c>
      <c r="AL69" s="13" t="s">
        <v>387</v>
      </c>
      <c r="AM69" s="11"/>
      <c r="AN69" s="11" t="s">
        <v>386</v>
      </c>
      <c r="AO69" s="13" t="s">
        <v>387</v>
      </c>
      <c r="AP69" s="11"/>
    </row>
    <row r="70" spans="1:42" ht="28.05" customHeight="1" x14ac:dyDescent="0.3">
      <c r="A70" s="9">
        <v>66</v>
      </c>
      <c r="B70" s="9" t="s">
        <v>402</v>
      </c>
      <c r="C70" s="9" t="s">
        <v>147</v>
      </c>
      <c r="D70" s="10" t="s">
        <v>333</v>
      </c>
      <c r="E70" s="10" t="s">
        <v>334</v>
      </c>
      <c r="F70" s="9" t="s">
        <v>335</v>
      </c>
      <c r="G70" s="8" t="s">
        <v>386</v>
      </c>
      <c r="H70" s="13" t="s">
        <v>387</v>
      </c>
      <c r="I70" s="8"/>
      <c r="J70" s="8" t="s">
        <v>386</v>
      </c>
      <c r="K70" s="13" t="s">
        <v>387</v>
      </c>
      <c r="L70" s="8"/>
      <c r="M70" s="8" t="s">
        <v>386</v>
      </c>
      <c r="N70" s="13" t="s">
        <v>387</v>
      </c>
      <c r="O70" s="8"/>
      <c r="P70" s="12" t="s">
        <v>384</v>
      </c>
      <c r="Q70" s="13" t="s">
        <v>385</v>
      </c>
      <c r="R70" s="15">
        <v>0</v>
      </c>
      <c r="S70" s="12" t="s">
        <v>384</v>
      </c>
      <c r="T70" s="13" t="s">
        <v>385</v>
      </c>
      <c r="U70" s="15">
        <v>0</v>
      </c>
      <c r="V70" s="8" t="s">
        <v>386</v>
      </c>
      <c r="W70" s="13" t="s">
        <v>387</v>
      </c>
      <c r="X70" s="8"/>
      <c r="Y70" s="8" t="s">
        <v>386</v>
      </c>
      <c r="Z70" s="13" t="s">
        <v>387</v>
      </c>
      <c r="AA70" s="8"/>
      <c r="AB70" s="8" t="s">
        <v>386</v>
      </c>
      <c r="AC70" s="13" t="s">
        <v>387</v>
      </c>
      <c r="AD70" s="8"/>
      <c r="AE70" s="8" t="s">
        <v>386</v>
      </c>
      <c r="AF70" s="13" t="s">
        <v>387</v>
      </c>
      <c r="AG70" s="8"/>
      <c r="AH70" s="8" t="s">
        <v>386</v>
      </c>
      <c r="AI70" s="13" t="s">
        <v>387</v>
      </c>
      <c r="AJ70" s="8"/>
      <c r="AK70" s="8" t="s">
        <v>386</v>
      </c>
      <c r="AL70" s="13" t="s">
        <v>387</v>
      </c>
      <c r="AM70" s="8"/>
      <c r="AN70" s="8" t="s">
        <v>386</v>
      </c>
      <c r="AO70" s="13" t="s">
        <v>387</v>
      </c>
      <c r="AP70" s="8"/>
    </row>
    <row r="71" spans="1:42" ht="28.05" customHeight="1" x14ac:dyDescent="0.3">
      <c r="A71" s="5">
        <v>67</v>
      </c>
      <c r="B71" s="5" t="s">
        <v>402</v>
      </c>
      <c r="C71" s="5" t="s">
        <v>151</v>
      </c>
      <c r="D71" s="6" t="s">
        <v>336</v>
      </c>
      <c r="E71" s="6" t="s">
        <v>337</v>
      </c>
      <c r="F71" s="5" t="s">
        <v>275</v>
      </c>
      <c r="G71" s="11" t="s">
        <v>386</v>
      </c>
      <c r="H71" s="13" t="s">
        <v>387</v>
      </c>
      <c r="I71" s="11"/>
      <c r="J71" s="11" t="s">
        <v>386</v>
      </c>
      <c r="K71" s="13" t="s">
        <v>387</v>
      </c>
      <c r="L71" s="11"/>
      <c r="M71" s="11" t="s">
        <v>386</v>
      </c>
      <c r="N71" s="13" t="s">
        <v>387</v>
      </c>
      <c r="O71" s="11"/>
      <c r="P71" s="11" t="s">
        <v>386</v>
      </c>
      <c r="Q71" s="13" t="s">
        <v>387</v>
      </c>
      <c r="R71" s="11"/>
      <c r="S71" s="11" t="s">
        <v>386</v>
      </c>
      <c r="T71" s="13" t="s">
        <v>387</v>
      </c>
      <c r="U71" s="11"/>
      <c r="V71" s="11" t="s">
        <v>386</v>
      </c>
      <c r="W71" s="13" t="s">
        <v>387</v>
      </c>
      <c r="X71" s="11"/>
      <c r="Y71" s="11" t="s">
        <v>386</v>
      </c>
      <c r="Z71" s="13" t="s">
        <v>387</v>
      </c>
      <c r="AA71" s="11"/>
      <c r="AB71" s="12" t="s">
        <v>384</v>
      </c>
      <c r="AC71" s="13" t="s">
        <v>385</v>
      </c>
      <c r="AD71" s="14">
        <v>0</v>
      </c>
      <c r="AE71" s="12" t="s">
        <v>384</v>
      </c>
      <c r="AF71" s="13" t="s">
        <v>385</v>
      </c>
      <c r="AG71" s="14">
        <v>0</v>
      </c>
      <c r="AH71" s="11" t="s">
        <v>386</v>
      </c>
      <c r="AI71" s="13" t="s">
        <v>387</v>
      </c>
      <c r="AJ71" s="11"/>
      <c r="AK71" s="11" t="s">
        <v>386</v>
      </c>
      <c r="AL71" s="13" t="s">
        <v>387</v>
      </c>
      <c r="AM71" s="11"/>
      <c r="AN71" s="11" t="s">
        <v>386</v>
      </c>
      <c r="AO71" s="13" t="s">
        <v>387</v>
      </c>
      <c r="AP71" s="11"/>
    </row>
    <row r="72" spans="1:42" ht="28.05" customHeight="1" x14ac:dyDescent="0.3">
      <c r="A72" s="9">
        <v>68</v>
      </c>
      <c r="B72" s="9" t="s">
        <v>402</v>
      </c>
      <c r="C72" s="9" t="s">
        <v>154</v>
      </c>
      <c r="D72" s="10" t="s">
        <v>282</v>
      </c>
      <c r="E72" s="10" t="s">
        <v>338</v>
      </c>
      <c r="F72" s="9" t="s">
        <v>275</v>
      </c>
      <c r="G72" s="8" t="s">
        <v>386</v>
      </c>
      <c r="H72" s="13" t="s">
        <v>387</v>
      </c>
      <c r="I72" s="8"/>
      <c r="J72" s="8" t="s">
        <v>386</v>
      </c>
      <c r="K72" s="13" t="s">
        <v>387</v>
      </c>
      <c r="L72" s="8"/>
      <c r="M72" s="8" t="s">
        <v>386</v>
      </c>
      <c r="N72" s="13" t="s">
        <v>387</v>
      </c>
      <c r="O72" s="8"/>
      <c r="P72" s="8" t="s">
        <v>386</v>
      </c>
      <c r="Q72" s="13" t="s">
        <v>387</v>
      </c>
      <c r="R72" s="8"/>
      <c r="S72" s="8" t="s">
        <v>386</v>
      </c>
      <c r="T72" s="13" t="s">
        <v>387</v>
      </c>
      <c r="U72" s="8"/>
      <c r="V72" s="8" t="s">
        <v>386</v>
      </c>
      <c r="W72" s="13" t="s">
        <v>387</v>
      </c>
      <c r="X72" s="8"/>
      <c r="Y72" s="8" t="s">
        <v>386</v>
      </c>
      <c r="Z72" s="13" t="s">
        <v>387</v>
      </c>
      <c r="AA72" s="8"/>
      <c r="AB72" s="8" t="s">
        <v>386</v>
      </c>
      <c r="AC72" s="13" t="s">
        <v>387</v>
      </c>
      <c r="AD72" s="8"/>
      <c r="AE72" s="12" t="s">
        <v>384</v>
      </c>
      <c r="AF72" s="13" t="s">
        <v>385</v>
      </c>
      <c r="AG72" s="15">
        <v>0</v>
      </c>
      <c r="AH72" s="12" t="s">
        <v>384</v>
      </c>
      <c r="AI72" s="13" t="s">
        <v>385</v>
      </c>
      <c r="AJ72" s="15">
        <v>0</v>
      </c>
      <c r="AK72" s="12" t="s">
        <v>384</v>
      </c>
      <c r="AL72" s="13" t="s">
        <v>385</v>
      </c>
      <c r="AM72" s="15">
        <v>0</v>
      </c>
      <c r="AN72" s="12" t="s">
        <v>384</v>
      </c>
      <c r="AO72" s="13" t="s">
        <v>385</v>
      </c>
      <c r="AP72" s="15">
        <v>0</v>
      </c>
    </row>
    <row r="73" spans="1:42" ht="28.05" customHeight="1" x14ac:dyDescent="0.3">
      <c r="A73" s="5">
        <v>69</v>
      </c>
      <c r="B73" s="5" t="s">
        <v>403</v>
      </c>
      <c r="C73" s="5" t="s">
        <v>142</v>
      </c>
      <c r="D73" s="6" t="s">
        <v>341</v>
      </c>
      <c r="E73" s="6" t="s">
        <v>342</v>
      </c>
      <c r="F73" s="5" t="s">
        <v>190</v>
      </c>
      <c r="G73" s="11" t="s">
        <v>386</v>
      </c>
      <c r="H73" s="13" t="s">
        <v>387</v>
      </c>
      <c r="I73" s="11"/>
      <c r="J73" s="11" t="s">
        <v>386</v>
      </c>
      <c r="K73" s="13" t="s">
        <v>387</v>
      </c>
      <c r="L73" s="11"/>
      <c r="M73" s="11" t="s">
        <v>386</v>
      </c>
      <c r="N73" s="13" t="s">
        <v>387</v>
      </c>
      <c r="O73" s="11"/>
      <c r="P73" s="11" t="s">
        <v>386</v>
      </c>
      <c r="Q73" s="13" t="s">
        <v>387</v>
      </c>
      <c r="R73" s="11"/>
      <c r="S73" s="11" t="s">
        <v>386</v>
      </c>
      <c r="T73" s="13" t="s">
        <v>387</v>
      </c>
      <c r="U73" s="11"/>
      <c r="V73" s="11" t="s">
        <v>386</v>
      </c>
      <c r="W73" s="13" t="s">
        <v>387</v>
      </c>
      <c r="X73" s="11"/>
      <c r="Y73" s="11" t="s">
        <v>386</v>
      </c>
      <c r="Z73" s="13" t="s">
        <v>387</v>
      </c>
      <c r="AA73" s="11"/>
      <c r="AB73" s="12" t="s">
        <v>384</v>
      </c>
      <c r="AC73" s="13" t="s">
        <v>385</v>
      </c>
      <c r="AD73" s="14">
        <v>0</v>
      </c>
      <c r="AE73" s="12" t="s">
        <v>384</v>
      </c>
      <c r="AF73" s="13" t="s">
        <v>385</v>
      </c>
      <c r="AG73" s="14">
        <v>0</v>
      </c>
      <c r="AH73" s="11" t="s">
        <v>386</v>
      </c>
      <c r="AI73" s="13" t="s">
        <v>387</v>
      </c>
      <c r="AJ73" s="11"/>
      <c r="AK73" s="11" t="s">
        <v>386</v>
      </c>
      <c r="AL73" s="13" t="s">
        <v>387</v>
      </c>
      <c r="AM73" s="11"/>
      <c r="AN73" s="11" t="s">
        <v>386</v>
      </c>
      <c r="AO73" s="13" t="s">
        <v>387</v>
      </c>
      <c r="AP73" s="11"/>
    </row>
    <row r="74" spans="1:42" ht="28.05" customHeight="1" x14ac:dyDescent="0.3">
      <c r="A74" s="9">
        <v>70</v>
      </c>
      <c r="B74" s="9" t="s">
        <v>403</v>
      </c>
      <c r="C74" s="9" t="s">
        <v>147</v>
      </c>
      <c r="D74" s="10" t="s">
        <v>343</v>
      </c>
      <c r="E74" s="10" t="s">
        <v>344</v>
      </c>
      <c r="F74" s="9" t="s">
        <v>275</v>
      </c>
      <c r="G74" s="8" t="s">
        <v>386</v>
      </c>
      <c r="H74" s="13" t="s">
        <v>387</v>
      </c>
      <c r="I74" s="8"/>
      <c r="J74" s="8" t="s">
        <v>386</v>
      </c>
      <c r="K74" s="13" t="s">
        <v>387</v>
      </c>
      <c r="L74" s="8"/>
      <c r="M74" s="8" t="s">
        <v>386</v>
      </c>
      <c r="N74" s="13" t="s">
        <v>387</v>
      </c>
      <c r="O74" s="8"/>
      <c r="P74" s="8" t="s">
        <v>386</v>
      </c>
      <c r="Q74" s="13" t="s">
        <v>387</v>
      </c>
      <c r="R74" s="8"/>
      <c r="S74" s="8" t="s">
        <v>386</v>
      </c>
      <c r="T74" s="13" t="s">
        <v>387</v>
      </c>
      <c r="U74" s="8"/>
      <c r="V74" s="8" t="s">
        <v>386</v>
      </c>
      <c r="W74" s="13" t="s">
        <v>387</v>
      </c>
      <c r="X74" s="8"/>
      <c r="Y74" s="8" t="s">
        <v>386</v>
      </c>
      <c r="Z74" s="13" t="s">
        <v>387</v>
      </c>
      <c r="AA74" s="8"/>
      <c r="AB74" s="8" t="s">
        <v>386</v>
      </c>
      <c r="AC74" s="13" t="s">
        <v>387</v>
      </c>
      <c r="AD74" s="8"/>
      <c r="AE74" s="12" t="s">
        <v>384</v>
      </c>
      <c r="AF74" s="13" t="s">
        <v>385</v>
      </c>
      <c r="AG74" s="15">
        <v>0</v>
      </c>
      <c r="AH74" s="12" t="s">
        <v>384</v>
      </c>
      <c r="AI74" s="13" t="s">
        <v>385</v>
      </c>
      <c r="AJ74" s="15">
        <v>0</v>
      </c>
      <c r="AK74" s="8" t="s">
        <v>386</v>
      </c>
      <c r="AL74" s="13" t="s">
        <v>387</v>
      </c>
      <c r="AM74" s="8"/>
      <c r="AN74" s="8" t="s">
        <v>386</v>
      </c>
      <c r="AO74" s="13" t="s">
        <v>387</v>
      </c>
      <c r="AP74" s="8"/>
    </row>
    <row r="75" spans="1:42" ht="28.05" customHeight="1" x14ac:dyDescent="0.3">
      <c r="A75" s="5">
        <v>71</v>
      </c>
      <c r="B75" s="5" t="s">
        <v>403</v>
      </c>
      <c r="C75" s="5" t="s">
        <v>151</v>
      </c>
      <c r="D75" s="6" t="s">
        <v>345</v>
      </c>
      <c r="E75" s="6" t="s">
        <v>346</v>
      </c>
      <c r="F75" s="5" t="s">
        <v>275</v>
      </c>
      <c r="G75" s="11" t="s">
        <v>386</v>
      </c>
      <c r="H75" s="13" t="s">
        <v>387</v>
      </c>
      <c r="I75" s="11"/>
      <c r="J75" s="11" t="s">
        <v>386</v>
      </c>
      <c r="K75" s="13" t="s">
        <v>387</v>
      </c>
      <c r="L75" s="11"/>
      <c r="M75" s="11" t="s">
        <v>386</v>
      </c>
      <c r="N75" s="13" t="s">
        <v>387</v>
      </c>
      <c r="O75" s="11"/>
      <c r="P75" s="11" t="s">
        <v>386</v>
      </c>
      <c r="Q75" s="13" t="s">
        <v>387</v>
      </c>
      <c r="R75" s="11"/>
      <c r="S75" s="11" t="s">
        <v>386</v>
      </c>
      <c r="T75" s="13" t="s">
        <v>387</v>
      </c>
      <c r="U75" s="11"/>
      <c r="V75" s="11" t="s">
        <v>386</v>
      </c>
      <c r="W75" s="13" t="s">
        <v>387</v>
      </c>
      <c r="X75" s="11"/>
      <c r="Y75" s="11" t="s">
        <v>386</v>
      </c>
      <c r="Z75" s="13" t="s">
        <v>387</v>
      </c>
      <c r="AA75" s="11"/>
      <c r="AB75" s="11" t="s">
        <v>386</v>
      </c>
      <c r="AC75" s="13" t="s">
        <v>387</v>
      </c>
      <c r="AD75" s="11"/>
      <c r="AE75" s="12" t="s">
        <v>384</v>
      </c>
      <c r="AF75" s="13" t="s">
        <v>385</v>
      </c>
      <c r="AG75" s="14">
        <v>0</v>
      </c>
      <c r="AH75" s="12" t="s">
        <v>384</v>
      </c>
      <c r="AI75" s="13" t="s">
        <v>385</v>
      </c>
      <c r="AJ75" s="14">
        <v>0</v>
      </c>
      <c r="AK75" s="11" t="s">
        <v>386</v>
      </c>
      <c r="AL75" s="13" t="s">
        <v>387</v>
      </c>
      <c r="AM75" s="11"/>
      <c r="AN75" s="11" t="s">
        <v>386</v>
      </c>
      <c r="AO75" s="13" t="s">
        <v>387</v>
      </c>
      <c r="AP75" s="11"/>
    </row>
    <row r="76" spans="1:42" ht="28.05" customHeight="1" x14ac:dyDescent="0.3">
      <c r="A76" s="9">
        <v>72</v>
      </c>
      <c r="B76" s="9" t="s">
        <v>403</v>
      </c>
      <c r="C76" s="9" t="s">
        <v>154</v>
      </c>
      <c r="D76" s="10" t="s">
        <v>347</v>
      </c>
      <c r="E76" s="10" t="s">
        <v>348</v>
      </c>
      <c r="F76" s="9" t="s">
        <v>150</v>
      </c>
      <c r="G76" s="8" t="s">
        <v>386</v>
      </c>
      <c r="H76" s="13" t="s">
        <v>387</v>
      </c>
      <c r="I76" s="8"/>
      <c r="J76" s="8" t="s">
        <v>386</v>
      </c>
      <c r="K76" s="13" t="s">
        <v>387</v>
      </c>
      <c r="L76" s="8"/>
      <c r="M76" s="8" t="s">
        <v>386</v>
      </c>
      <c r="N76" s="13" t="s">
        <v>387</v>
      </c>
      <c r="O76" s="8"/>
      <c r="P76" s="8" t="s">
        <v>386</v>
      </c>
      <c r="Q76" s="13" t="s">
        <v>387</v>
      </c>
      <c r="R76" s="8"/>
      <c r="S76" s="8" t="s">
        <v>386</v>
      </c>
      <c r="T76" s="13" t="s">
        <v>387</v>
      </c>
      <c r="U76" s="8"/>
      <c r="V76" s="8" t="s">
        <v>386</v>
      </c>
      <c r="W76" s="13" t="s">
        <v>387</v>
      </c>
      <c r="X76" s="8"/>
      <c r="Y76" s="8" t="s">
        <v>386</v>
      </c>
      <c r="Z76" s="13" t="s">
        <v>387</v>
      </c>
      <c r="AA76" s="8"/>
      <c r="AB76" s="8" t="s">
        <v>386</v>
      </c>
      <c r="AC76" s="13" t="s">
        <v>387</v>
      </c>
      <c r="AD76" s="8"/>
      <c r="AE76" s="8" t="s">
        <v>386</v>
      </c>
      <c r="AF76" s="13" t="s">
        <v>387</v>
      </c>
      <c r="AG76" s="8"/>
      <c r="AH76" s="12" t="s">
        <v>384</v>
      </c>
      <c r="AI76" s="13" t="s">
        <v>385</v>
      </c>
      <c r="AJ76" s="15">
        <v>0</v>
      </c>
      <c r="AK76" s="12" t="s">
        <v>384</v>
      </c>
      <c r="AL76" s="13" t="s">
        <v>385</v>
      </c>
      <c r="AM76" s="15">
        <v>0</v>
      </c>
      <c r="AN76" s="8" t="s">
        <v>386</v>
      </c>
      <c r="AO76" s="13" t="s">
        <v>387</v>
      </c>
      <c r="AP76" s="8"/>
    </row>
    <row r="77" spans="1:42" ht="28.05" customHeight="1" x14ac:dyDescent="0.3">
      <c r="A77" s="5">
        <v>73</v>
      </c>
      <c r="B77" s="5" t="s">
        <v>404</v>
      </c>
      <c r="C77" s="5" t="s">
        <v>142</v>
      </c>
      <c r="D77" s="6" t="s">
        <v>351</v>
      </c>
      <c r="E77" s="6" t="s">
        <v>352</v>
      </c>
      <c r="F77" s="5" t="s">
        <v>150</v>
      </c>
      <c r="G77" s="11" t="s">
        <v>386</v>
      </c>
      <c r="H77" s="13" t="s">
        <v>387</v>
      </c>
      <c r="I77" s="11"/>
      <c r="J77" s="12" t="s">
        <v>384</v>
      </c>
      <c r="K77" s="13" t="s">
        <v>385</v>
      </c>
      <c r="L77" s="14">
        <v>0</v>
      </c>
      <c r="M77" s="11" t="s">
        <v>386</v>
      </c>
      <c r="N77" s="13" t="s">
        <v>387</v>
      </c>
      <c r="O77" s="11"/>
      <c r="P77" s="11" t="s">
        <v>386</v>
      </c>
      <c r="Q77" s="13" t="s">
        <v>387</v>
      </c>
      <c r="R77" s="11"/>
      <c r="S77" s="11" t="s">
        <v>386</v>
      </c>
      <c r="T77" s="13" t="s">
        <v>387</v>
      </c>
      <c r="U77" s="11"/>
      <c r="V77" s="11" t="s">
        <v>386</v>
      </c>
      <c r="W77" s="13" t="s">
        <v>387</v>
      </c>
      <c r="X77" s="11"/>
      <c r="Y77" s="11" t="s">
        <v>386</v>
      </c>
      <c r="Z77" s="13" t="s">
        <v>387</v>
      </c>
      <c r="AA77" s="11"/>
      <c r="AB77" s="11" t="s">
        <v>386</v>
      </c>
      <c r="AC77" s="13" t="s">
        <v>387</v>
      </c>
      <c r="AD77" s="11"/>
      <c r="AE77" s="11" t="s">
        <v>386</v>
      </c>
      <c r="AF77" s="13" t="s">
        <v>387</v>
      </c>
      <c r="AG77" s="11"/>
      <c r="AH77" s="11" t="s">
        <v>386</v>
      </c>
      <c r="AI77" s="13" t="s">
        <v>387</v>
      </c>
      <c r="AJ77" s="11"/>
      <c r="AK77" s="11" t="s">
        <v>386</v>
      </c>
      <c r="AL77" s="13" t="s">
        <v>387</v>
      </c>
      <c r="AM77" s="11"/>
      <c r="AN77" s="11" t="s">
        <v>386</v>
      </c>
      <c r="AO77" s="13" t="s">
        <v>387</v>
      </c>
      <c r="AP77" s="11"/>
    </row>
    <row r="78" spans="1:42" ht="28.05" customHeight="1" x14ac:dyDescent="0.3">
      <c r="A78" s="9">
        <v>74</v>
      </c>
      <c r="B78" s="9" t="s">
        <v>404</v>
      </c>
      <c r="C78" s="9" t="s">
        <v>147</v>
      </c>
      <c r="D78" s="10" t="s">
        <v>353</v>
      </c>
      <c r="E78" s="10" t="s">
        <v>354</v>
      </c>
      <c r="F78" s="9" t="s">
        <v>150</v>
      </c>
      <c r="G78" s="8" t="s">
        <v>386</v>
      </c>
      <c r="H78" s="13" t="s">
        <v>387</v>
      </c>
      <c r="I78" s="8"/>
      <c r="J78" s="12" t="s">
        <v>384</v>
      </c>
      <c r="K78" s="13" t="s">
        <v>385</v>
      </c>
      <c r="L78" s="15">
        <v>0</v>
      </c>
      <c r="M78" s="8" t="s">
        <v>386</v>
      </c>
      <c r="N78" s="13" t="s">
        <v>387</v>
      </c>
      <c r="O78" s="8"/>
      <c r="P78" s="8" t="s">
        <v>386</v>
      </c>
      <c r="Q78" s="13" t="s">
        <v>387</v>
      </c>
      <c r="R78" s="8"/>
      <c r="S78" s="8" t="s">
        <v>386</v>
      </c>
      <c r="T78" s="13" t="s">
        <v>387</v>
      </c>
      <c r="U78" s="8"/>
      <c r="V78" s="8" t="s">
        <v>386</v>
      </c>
      <c r="W78" s="13" t="s">
        <v>387</v>
      </c>
      <c r="X78" s="8"/>
      <c r="Y78" s="8" t="s">
        <v>386</v>
      </c>
      <c r="Z78" s="13" t="s">
        <v>387</v>
      </c>
      <c r="AA78" s="8"/>
      <c r="AB78" s="8" t="s">
        <v>386</v>
      </c>
      <c r="AC78" s="13" t="s">
        <v>387</v>
      </c>
      <c r="AD78" s="8"/>
      <c r="AE78" s="8" t="s">
        <v>386</v>
      </c>
      <c r="AF78" s="13" t="s">
        <v>387</v>
      </c>
      <c r="AG78" s="8"/>
      <c r="AH78" s="8" t="s">
        <v>386</v>
      </c>
      <c r="AI78" s="13" t="s">
        <v>387</v>
      </c>
      <c r="AJ78" s="8"/>
      <c r="AK78" s="8" t="s">
        <v>386</v>
      </c>
      <c r="AL78" s="13" t="s">
        <v>387</v>
      </c>
      <c r="AM78" s="8"/>
      <c r="AN78" s="8" t="s">
        <v>386</v>
      </c>
      <c r="AO78" s="13" t="s">
        <v>387</v>
      </c>
      <c r="AP78" s="8"/>
    </row>
    <row r="79" spans="1:42" ht="28.05" customHeight="1" x14ac:dyDescent="0.3">
      <c r="A79" s="5">
        <v>75</v>
      </c>
      <c r="B79" s="5" t="s">
        <v>404</v>
      </c>
      <c r="C79" s="5" t="s">
        <v>151</v>
      </c>
      <c r="D79" s="6" t="s">
        <v>355</v>
      </c>
      <c r="E79" s="6" t="s">
        <v>356</v>
      </c>
      <c r="F79" s="5" t="s">
        <v>145</v>
      </c>
      <c r="G79" s="11" t="s">
        <v>386</v>
      </c>
      <c r="H79" s="13" t="s">
        <v>387</v>
      </c>
      <c r="I79" s="11"/>
      <c r="J79" s="12" t="s">
        <v>384</v>
      </c>
      <c r="K79" s="13" t="s">
        <v>385</v>
      </c>
      <c r="L79" s="14">
        <v>0</v>
      </c>
      <c r="M79" s="11" t="s">
        <v>386</v>
      </c>
      <c r="N79" s="13" t="s">
        <v>387</v>
      </c>
      <c r="O79" s="11"/>
      <c r="P79" s="11" t="s">
        <v>386</v>
      </c>
      <c r="Q79" s="13" t="s">
        <v>387</v>
      </c>
      <c r="R79" s="11"/>
      <c r="S79" s="11" t="s">
        <v>386</v>
      </c>
      <c r="T79" s="13" t="s">
        <v>387</v>
      </c>
      <c r="U79" s="11"/>
      <c r="V79" s="11" t="s">
        <v>386</v>
      </c>
      <c r="W79" s="13" t="s">
        <v>387</v>
      </c>
      <c r="X79" s="11"/>
      <c r="Y79" s="11" t="s">
        <v>386</v>
      </c>
      <c r="Z79" s="13" t="s">
        <v>387</v>
      </c>
      <c r="AA79" s="11"/>
      <c r="AB79" s="11" t="s">
        <v>386</v>
      </c>
      <c r="AC79" s="13" t="s">
        <v>387</v>
      </c>
      <c r="AD79" s="11"/>
      <c r="AE79" s="11" t="s">
        <v>386</v>
      </c>
      <c r="AF79" s="13" t="s">
        <v>387</v>
      </c>
      <c r="AG79" s="11"/>
      <c r="AH79" s="11" t="s">
        <v>386</v>
      </c>
      <c r="AI79" s="13" t="s">
        <v>387</v>
      </c>
      <c r="AJ79" s="11"/>
      <c r="AK79" s="11" t="s">
        <v>386</v>
      </c>
      <c r="AL79" s="13" t="s">
        <v>387</v>
      </c>
      <c r="AM79" s="11"/>
      <c r="AN79" s="11" t="s">
        <v>386</v>
      </c>
      <c r="AO79" s="13" t="s">
        <v>387</v>
      </c>
      <c r="AP79" s="11"/>
    </row>
    <row r="80" spans="1:42" ht="28.05" customHeight="1" x14ac:dyDescent="0.3">
      <c r="A80" s="9">
        <v>76</v>
      </c>
      <c r="B80" s="9" t="s">
        <v>404</v>
      </c>
      <c r="C80" s="9" t="s">
        <v>154</v>
      </c>
      <c r="D80" s="10" t="s">
        <v>357</v>
      </c>
      <c r="E80" s="10" t="s">
        <v>358</v>
      </c>
      <c r="F80" s="9" t="s">
        <v>145</v>
      </c>
      <c r="G80" s="8" t="s">
        <v>386</v>
      </c>
      <c r="H80" s="13" t="s">
        <v>387</v>
      </c>
      <c r="I80" s="8"/>
      <c r="J80" s="12" t="s">
        <v>384</v>
      </c>
      <c r="K80" s="13" t="s">
        <v>385</v>
      </c>
      <c r="L80" s="15">
        <v>0</v>
      </c>
      <c r="M80" s="12" t="s">
        <v>384</v>
      </c>
      <c r="N80" s="13" t="s">
        <v>385</v>
      </c>
      <c r="O80" s="15">
        <v>0</v>
      </c>
      <c r="P80" s="12" t="s">
        <v>384</v>
      </c>
      <c r="Q80" s="13" t="s">
        <v>385</v>
      </c>
      <c r="R80" s="15">
        <v>0</v>
      </c>
      <c r="S80" s="12" t="s">
        <v>384</v>
      </c>
      <c r="T80" s="13" t="s">
        <v>385</v>
      </c>
      <c r="U80" s="15">
        <v>0</v>
      </c>
      <c r="V80" s="12" t="s">
        <v>384</v>
      </c>
      <c r="W80" s="13" t="s">
        <v>385</v>
      </c>
      <c r="X80" s="15">
        <v>0</v>
      </c>
      <c r="Y80" s="12" t="s">
        <v>384</v>
      </c>
      <c r="Z80" s="13" t="s">
        <v>385</v>
      </c>
      <c r="AA80" s="15">
        <v>0</v>
      </c>
      <c r="AB80" s="12" t="s">
        <v>384</v>
      </c>
      <c r="AC80" s="13" t="s">
        <v>385</v>
      </c>
      <c r="AD80" s="15">
        <v>0</v>
      </c>
      <c r="AE80" s="12" t="s">
        <v>384</v>
      </c>
      <c r="AF80" s="13" t="s">
        <v>385</v>
      </c>
      <c r="AG80" s="15">
        <v>0</v>
      </c>
      <c r="AH80" s="12" t="s">
        <v>384</v>
      </c>
      <c r="AI80" s="13" t="s">
        <v>385</v>
      </c>
      <c r="AJ80" s="15">
        <v>0</v>
      </c>
      <c r="AK80" s="12" t="s">
        <v>384</v>
      </c>
      <c r="AL80" s="13" t="s">
        <v>385</v>
      </c>
      <c r="AM80" s="15">
        <v>0</v>
      </c>
      <c r="AN80" s="12" t="s">
        <v>384</v>
      </c>
      <c r="AO80" s="13" t="s">
        <v>385</v>
      </c>
      <c r="AP80" s="15">
        <v>0</v>
      </c>
    </row>
    <row r="81" spans="1:42" ht="28.05" customHeight="1" x14ac:dyDescent="0.3">
      <c r="A81" s="5">
        <v>77</v>
      </c>
      <c r="B81" s="5" t="s">
        <v>404</v>
      </c>
      <c r="C81" s="5" t="s">
        <v>167</v>
      </c>
      <c r="D81" s="6" t="s">
        <v>359</v>
      </c>
      <c r="E81" s="6" t="s">
        <v>360</v>
      </c>
      <c r="F81" s="5" t="s">
        <v>145</v>
      </c>
      <c r="G81" s="11" t="s">
        <v>386</v>
      </c>
      <c r="H81" s="13" t="s">
        <v>387</v>
      </c>
      <c r="I81" s="11"/>
      <c r="J81" s="11" t="s">
        <v>386</v>
      </c>
      <c r="K81" s="13" t="s">
        <v>387</v>
      </c>
      <c r="L81" s="11"/>
      <c r="M81" s="12" t="s">
        <v>384</v>
      </c>
      <c r="N81" s="13" t="s">
        <v>385</v>
      </c>
      <c r="O81" s="14">
        <v>0</v>
      </c>
      <c r="P81" s="12" t="s">
        <v>384</v>
      </c>
      <c r="Q81" s="13" t="s">
        <v>385</v>
      </c>
      <c r="R81" s="14">
        <v>0</v>
      </c>
      <c r="S81" s="12" t="s">
        <v>384</v>
      </c>
      <c r="T81" s="13" t="s">
        <v>385</v>
      </c>
      <c r="U81" s="14">
        <v>0</v>
      </c>
      <c r="V81" s="12" t="s">
        <v>384</v>
      </c>
      <c r="W81" s="13" t="s">
        <v>385</v>
      </c>
      <c r="X81" s="14">
        <v>0</v>
      </c>
      <c r="Y81" s="12" t="s">
        <v>384</v>
      </c>
      <c r="Z81" s="13" t="s">
        <v>385</v>
      </c>
      <c r="AA81" s="14">
        <v>0</v>
      </c>
      <c r="AB81" s="12" t="s">
        <v>384</v>
      </c>
      <c r="AC81" s="13" t="s">
        <v>385</v>
      </c>
      <c r="AD81" s="14">
        <v>0</v>
      </c>
      <c r="AE81" s="12" t="s">
        <v>384</v>
      </c>
      <c r="AF81" s="13" t="s">
        <v>385</v>
      </c>
      <c r="AG81" s="14">
        <v>0</v>
      </c>
      <c r="AH81" s="12" t="s">
        <v>384</v>
      </c>
      <c r="AI81" s="13" t="s">
        <v>385</v>
      </c>
      <c r="AJ81" s="14">
        <v>0</v>
      </c>
      <c r="AK81" s="12" t="s">
        <v>384</v>
      </c>
      <c r="AL81" s="13" t="s">
        <v>385</v>
      </c>
      <c r="AM81" s="14">
        <v>0</v>
      </c>
      <c r="AN81" s="12" t="s">
        <v>384</v>
      </c>
      <c r="AO81" s="13" t="s">
        <v>385</v>
      </c>
      <c r="AP81" s="14">
        <v>0</v>
      </c>
    </row>
    <row r="84" spans="1:42" ht="15.6" x14ac:dyDescent="0.3">
      <c r="A84" s="37" t="s">
        <v>405</v>
      </c>
      <c r="B84" s="37"/>
      <c r="C84" s="37"/>
      <c r="D84" s="37"/>
      <c r="E84" s="37"/>
      <c r="F84" s="37"/>
      <c r="G84" s="33" t="s">
        <v>18</v>
      </c>
      <c r="H84" s="33"/>
      <c r="I84" s="33"/>
      <c r="J84" s="33" t="s">
        <v>19</v>
      </c>
      <c r="K84" s="33"/>
      <c r="L84" s="33"/>
      <c r="M84" s="33" t="s">
        <v>20</v>
      </c>
      <c r="N84" s="33"/>
      <c r="O84" s="33"/>
      <c r="P84" s="33" t="s">
        <v>21</v>
      </c>
      <c r="Q84" s="33"/>
      <c r="R84" s="33"/>
      <c r="S84" s="33" t="s">
        <v>22</v>
      </c>
      <c r="T84" s="33"/>
      <c r="U84" s="33"/>
      <c r="V84" s="33" t="s">
        <v>23</v>
      </c>
      <c r="W84" s="33"/>
      <c r="X84" s="33"/>
      <c r="Y84" s="33" t="s">
        <v>24</v>
      </c>
      <c r="Z84" s="33"/>
      <c r="AA84" s="33"/>
      <c r="AB84" s="33" t="s">
        <v>25</v>
      </c>
      <c r="AC84" s="33"/>
      <c r="AD84" s="33"/>
      <c r="AE84" s="33" t="s">
        <v>26</v>
      </c>
      <c r="AF84" s="33"/>
      <c r="AG84" s="33"/>
      <c r="AH84" s="33" t="s">
        <v>27</v>
      </c>
      <c r="AI84" s="33"/>
      <c r="AJ84" s="33"/>
      <c r="AK84" s="33" t="s">
        <v>28</v>
      </c>
      <c r="AL84" s="33"/>
      <c r="AM84" s="33"/>
      <c r="AN84" s="33" t="s">
        <v>29</v>
      </c>
      <c r="AO84" s="33"/>
      <c r="AP84" s="33"/>
    </row>
    <row r="85" spans="1:42" ht="30" customHeight="1" x14ac:dyDescent="0.3">
      <c r="A85" s="38" t="s">
        <v>406</v>
      </c>
      <c r="B85" s="38"/>
      <c r="C85" s="38"/>
      <c r="D85" s="38"/>
      <c r="E85" s="38"/>
      <c r="F85" s="38"/>
      <c r="G85" s="39">
        <f>AVERAGEIF(G5:G81,"✓",I5:I81)</f>
        <v>0</v>
      </c>
      <c r="H85" s="39"/>
      <c r="I85" s="39"/>
      <c r="J85" s="39">
        <f>AVERAGEIF(J5:J81,"✓",L5:L81)</f>
        <v>0</v>
      </c>
      <c r="K85" s="39"/>
      <c r="L85" s="39"/>
      <c r="M85" s="39">
        <f>AVERAGEIF(M5:M81,"✓",O5:O81)</f>
        <v>0</v>
      </c>
      <c r="N85" s="39"/>
      <c r="O85" s="39"/>
      <c r="P85" s="39">
        <f>AVERAGEIF(P5:P81,"✓",R5:R81)</f>
        <v>0</v>
      </c>
      <c r="Q85" s="39"/>
      <c r="R85" s="39"/>
      <c r="S85" s="39">
        <f>AVERAGEIF(S5:S81,"✓",U5:U81)</f>
        <v>0</v>
      </c>
      <c r="T85" s="39"/>
      <c r="U85" s="39"/>
      <c r="V85" s="39">
        <f>AVERAGEIF(V5:V81,"✓",X5:X81)</f>
        <v>0</v>
      </c>
      <c r="W85" s="39"/>
      <c r="X85" s="39"/>
      <c r="Y85" s="39">
        <f>AVERAGEIF(Y5:Y81,"✓",AA5:AA81)</f>
        <v>0</v>
      </c>
      <c r="Z85" s="39"/>
      <c r="AA85" s="39"/>
      <c r="AB85" s="39">
        <f>AVERAGEIF(AB5:AB81,"✓",AD5:AD81)</f>
        <v>0</v>
      </c>
      <c r="AC85" s="39"/>
      <c r="AD85" s="39"/>
      <c r="AE85" s="39">
        <f>AVERAGEIF(AE5:AE81,"✓",AG5:AG81)</f>
        <v>0</v>
      </c>
      <c r="AF85" s="39"/>
      <c r="AG85" s="39"/>
      <c r="AH85" s="39">
        <f>AVERAGEIF(AH5:AH81,"✓",AJ5:AJ81)</f>
        <v>0</v>
      </c>
      <c r="AI85" s="39"/>
      <c r="AJ85" s="39"/>
      <c r="AK85" s="39">
        <f>AVERAGEIF(AK5:AK81,"✓",AM5:AM81)</f>
        <v>0</v>
      </c>
      <c r="AL85" s="39"/>
      <c r="AM85" s="39"/>
      <c r="AN85" s="39">
        <f>AVERAGEIF(AN5:AN81,"✓",AP5:AP81)</f>
        <v>0</v>
      </c>
      <c r="AO85" s="39"/>
      <c r="AP85" s="39"/>
    </row>
  </sheetData>
  <mergeCells count="39">
    <mergeCell ref="AH84:AJ84"/>
    <mergeCell ref="AK84:AM84"/>
    <mergeCell ref="AN84:AP84"/>
    <mergeCell ref="A85:F85"/>
    <mergeCell ref="G85:I85"/>
    <mergeCell ref="J85:L85"/>
    <mergeCell ref="M85:O85"/>
    <mergeCell ref="P85:R85"/>
    <mergeCell ref="S85:U85"/>
    <mergeCell ref="V85:X85"/>
    <mergeCell ref="Y85:AA85"/>
    <mergeCell ref="AB85:AD85"/>
    <mergeCell ref="AE85:AG85"/>
    <mergeCell ref="AH85:AJ85"/>
    <mergeCell ref="AK85:AM85"/>
    <mergeCell ref="AN85:AP85"/>
    <mergeCell ref="S84:U84"/>
    <mergeCell ref="V84:X84"/>
    <mergeCell ref="Y84:AA84"/>
    <mergeCell ref="AB84:AD84"/>
    <mergeCell ref="AE84:AG84"/>
    <mergeCell ref="A84:F84"/>
    <mergeCell ref="G84:I84"/>
    <mergeCell ref="J84:L84"/>
    <mergeCell ref="M84:O84"/>
    <mergeCell ref="P84:R84"/>
    <mergeCell ref="A1:AP1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</mergeCells>
  <conditionalFormatting sqref="H5:H81">
    <cfRule type="containsText" dxfId="183" priority="1" operator="containsText" text="Completado">
      <formula>NOT(ISERROR(SEARCH("Completado",H5)))</formula>
    </cfRule>
    <cfRule type="containsText" dxfId="182" priority="2" operator="containsText" text="Retrasado">
      <formula>NOT(ISERROR(SEARCH("Retrasado",H5)))</formula>
    </cfRule>
    <cfRule type="containsText" dxfId="181" priority="3" operator="containsText" text="En Proceso">
      <formula>NOT(ISERROR(SEARCH("En Proceso",H5)))</formula>
    </cfRule>
  </conditionalFormatting>
  <conditionalFormatting sqref="K5:K81">
    <cfRule type="containsText" dxfId="180" priority="4" operator="containsText" text="Completado">
      <formula>NOT(ISERROR(SEARCH("Completado",K5)))</formula>
    </cfRule>
    <cfRule type="containsText" dxfId="179" priority="5" operator="containsText" text="Retrasado">
      <formula>NOT(ISERROR(SEARCH("Retrasado",K5)))</formula>
    </cfRule>
    <cfRule type="containsText" dxfId="178" priority="6" operator="containsText" text="En Proceso">
      <formula>NOT(ISERROR(SEARCH("En Proceso",K5)))</formula>
    </cfRule>
  </conditionalFormatting>
  <conditionalFormatting sqref="N5:N81">
    <cfRule type="containsText" dxfId="177" priority="7" operator="containsText" text="Completado">
      <formula>NOT(ISERROR(SEARCH("Completado",N5)))</formula>
    </cfRule>
    <cfRule type="containsText" dxfId="176" priority="8" operator="containsText" text="Retrasado">
      <formula>NOT(ISERROR(SEARCH("Retrasado",N5)))</formula>
    </cfRule>
    <cfRule type="containsText" dxfId="175" priority="9" operator="containsText" text="En Proceso">
      <formula>NOT(ISERROR(SEARCH("En Proceso",N5)))</formula>
    </cfRule>
  </conditionalFormatting>
  <conditionalFormatting sqref="Q5:Q81">
    <cfRule type="containsText" dxfId="174" priority="10" operator="containsText" text="Completado">
      <formula>NOT(ISERROR(SEARCH("Completado",Q5)))</formula>
    </cfRule>
    <cfRule type="containsText" dxfId="173" priority="11" operator="containsText" text="Retrasado">
      <formula>NOT(ISERROR(SEARCH("Retrasado",Q5)))</formula>
    </cfRule>
    <cfRule type="containsText" dxfId="172" priority="12" operator="containsText" text="En Proceso">
      <formula>NOT(ISERROR(SEARCH("En Proceso",Q5)))</formula>
    </cfRule>
  </conditionalFormatting>
  <conditionalFormatting sqref="T5:T81">
    <cfRule type="containsText" dxfId="171" priority="13" operator="containsText" text="Completado">
      <formula>NOT(ISERROR(SEARCH("Completado",T5)))</formula>
    </cfRule>
    <cfRule type="containsText" dxfId="170" priority="14" operator="containsText" text="Retrasado">
      <formula>NOT(ISERROR(SEARCH("Retrasado",T5)))</formula>
    </cfRule>
    <cfRule type="containsText" dxfId="169" priority="15" operator="containsText" text="En Proceso">
      <formula>NOT(ISERROR(SEARCH("En Proceso",T5)))</formula>
    </cfRule>
  </conditionalFormatting>
  <conditionalFormatting sqref="W5:W81">
    <cfRule type="containsText" dxfId="168" priority="16" operator="containsText" text="Completado">
      <formula>NOT(ISERROR(SEARCH("Completado",W5)))</formula>
    </cfRule>
    <cfRule type="containsText" dxfId="167" priority="17" operator="containsText" text="Retrasado">
      <formula>NOT(ISERROR(SEARCH("Retrasado",W5)))</formula>
    </cfRule>
    <cfRule type="containsText" dxfId="166" priority="18" operator="containsText" text="En Proceso">
      <formula>NOT(ISERROR(SEARCH("En Proceso",W5)))</formula>
    </cfRule>
  </conditionalFormatting>
  <conditionalFormatting sqref="Z5:Z81">
    <cfRule type="containsText" dxfId="165" priority="19" operator="containsText" text="Completado">
      <formula>NOT(ISERROR(SEARCH("Completado",Z5)))</formula>
    </cfRule>
    <cfRule type="containsText" dxfId="164" priority="20" operator="containsText" text="Retrasado">
      <formula>NOT(ISERROR(SEARCH("Retrasado",Z5)))</formula>
    </cfRule>
    <cfRule type="containsText" dxfId="163" priority="21" operator="containsText" text="En Proceso">
      <formula>NOT(ISERROR(SEARCH("En Proceso",Z5)))</formula>
    </cfRule>
  </conditionalFormatting>
  <conditionalFormatting sqref="AC5:AC81">
    <cfRule type="containsText" dxfId="162" priority="22" operator="containsText" text="Completado">
      <formula>NOT(ISERROR(SEARCH("Completado",AC5)))</formula>
    </cfRule>
    <cfRule type="containsText" dxfId="161" priority="23" operator="containsText" text="Retrasado">
      <formula>NOT(ISERROR(SEARCH("Retrasado",AC5)))</formula>
    </cfRule>
    <cfRule type="containsText" dxfId="160" priority="24" operator="containsText" text="En Proceso">
      <formula>NOT(ISERROR(SEARCH("En Proceso",AC5)))</formula>
    </cfRule>
  </conditionalFormatting>
  <conditionalFormatting sqref="AF5:AF81">
    <cfRule type="containsText" dxfId="159" priority="25" operator="containsText" text="Completado">
      <formula>NOT(ISERROR(SEARCH("Completado",AF5)))</formula>
    </cfRule>
    <cfRule type="containsText" dxfId="158" priority="26" operator="containsText" text="Retrasado">
      <formula>NOT(ISERROR(SEARCH("Retrasado",AF5)))</formula>
    </cfRule>
    <cfRule type="containsText" dxfId="157" priority="27" operator="containsText" text="En Proceso">
      <formula>NOT(ISERROR(SEARCH("En Proceso",AF5)))</formula>
    </cfRule>
  </conditionalFormatting>
  <conditionalFormatting sqref="AI5:AI81">
    <cfRule type="containsText" dxfId="156" priority="28" operator="containsText" text="Completado">
      <formula>NOT(ISERROR(SEARCH("Completado",AI5)))</formula>
    </cfRule>
    <cfRule type="containsText" dxfId="155" priority="29" operator="containsText" text="Retrasado">
      <formula>NOT(ISERROR(SEARCH("Retrasado",AI5)))</formula>
    </cfRule>
    <cfRule type="containsText" dxfId="154" priority="30" operator="containsText" text="En Proceso">
      <formula>NOT(ISERROR(SEARCH("En Proceso",AI5)))</formula>
    </cfRule>
  </conditionalFormatting>
  <conditionalFormatting sqref="AL5:AL81">
    <cfRule type="containsText" dxfId="153" priority="31" operator="containsText" text="Completado">
      <formula>NOT(ISERROR(SEARCH("Completado",AL5)))</formula>
    </cfRule>
    <cfRule type="containsText" dxfId="152" priority="32" operator="containsText" text="Retrasado">
      <formula>NOT(ISERROR(SEARCH("Retrasado",AL5)))</formula>
    </cfRule>
    <cfRule type="containsText" dxfId="151" priority="33" operator="containsText" text="En Proceso">
      <formula>NOT(ISERROR(SEARCH("En Proceso",AL5)))</formula>
    </cfRule>
  </conditionalFormatting>
  <conditionalFormatting sqref="AO5:AO81">
    <cfRule type="containsText" dxfId="150" priority="34" operator="containsText" text="Completado">
      <formula>NOT(ISERROR(SEARCH("Completado",AO5)))</formula>
    </cfRule>
    <cfRule type="containsText" dxfId="149" priority="35" operator="containsText" text="Retrasado">
      <formula>NOT(ISERROR(SEARCH("Retrasado",AO5)))</formula>
    </cfRule>
    <cfRule type="containsText" dxfId="148" priority="36" operator="containsText" text="En Proceso">
      <formula>NOT(ISERROR(SEARCH("En Proceso",AO5)))</formula>
    </cfRule>
  </conditionalFormatting>
  <dataValidations count="1">
    <dataValidation type="list" allowBlank="1" showInputMessage="1" showErrorMessage="1" error="Seleccione un estado válido" sqref="H5:H81 AO5:AO81 AL5:AL81 AI5:AI81 AF5:AF81 AC5:AC81 Z5:Z81 W5:W81 T5:T81 Q5:Q81 N5:N81 K5:K81" xr:uid="{00000000-0002-0000-0200-000000000000}">
      <formula1>"No Iniciado,En Proceso,Completado,Retrasado,N/A"</formula1>
    </dataValidation>
  </dataValidation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AO88"/>
  <sheetViews>
    <sheetView showGridLines="0" zoomScale="75" zoomScaleNormal="75" workbookViewId="0">
      <pane xSplit="5" ySplit="5" topLeftCell="F78" activePane="bottomRight" state="frozen"/>
      <selection pane="topRight" activeCell="F1" sqref="F1"/>
      <selection pane="bottomLeft" activeCell="A6" sqref="A6"/>
      <selection pane="bottomRight" activeCell="G6" sqref="G6"/>
    </sheetView>
  </sheetViews>
  <sheetFormatPr baseColWidth="10" defaultColWidth="8.88671875" defaultRowHeight="14.4" x14ac:dyDescent="0.3"/>
  <cols>
    <col min="1" max="1" width="4.6640625" style="65" customWidth="1"/>
    <col min="2" max="2" width="10.6640625" style="65" customWidth="1"/>
    <col min="3" max="3" width="8.6640625" style="65" customWidth="1"/>
    <col min="4" max="4" width="40.6640625" style="65" customWidth="1"/>
    <col min="5" max="5" width="15.6640625" style="65" customWidth="1"/>
    <col min="6" max="6" width="8.6640625" style="65" customWidth="1"/>
    <col min="7" max="8" width="10.6640625" style="65" customWidth="1"/>
    <col min="9" max="9" width="8.6640625" style="65" customWidth="1"/>
    <col min="10" max="11" width="10.6640625" style="65" customWidth="1"/>
    <col min="12" max="12" width="8.6640625" style="65" customWidth="1"/>
    <col min="13" max="14" width="10.6640625" style="65" customWidth="1"/>
    <col min="15" max="15" width="8.6640625" style="65" customWidth="1"/>
    <col min="16" max="17" width="10.6640625" style="65" customWidth="1"/>
    <col min="18" max="18" width="8.6640625" style="65" customWidth="1"/>
    <col min="19" max="20" width="10.6640625" style="65" customWidth="1"/>
    <col min="21" max="21" width="8.6640625" style="65" customWidth="1"/>
    <col min="22" max="23" width="10.6640625" style="65" customWidth="1"/>
    <col min="24" max="24" width="8.6640625" style="65" customWidth="1"/>
    <col min="25" max="26" width="10.6640625" style="65" customWidth="1"/>
    <col min="27" max="27" width="8.6640625" style="65" customWidth="1"/>
    <col min="28" max="29" width="10.6640625" style="65" customWidth="1"/>
    <col min="30" max="30" width="8.6640625" style="65" customWidth="1"/>
    <col min="31" max="32" width="10.6640625" style="65" customWidth="1"/>
    <col min="33" max="33" width="8.6640625" style="65" customWidth="1"/>
    <col min="34" max="35" width="10.6640625" style="65" customWidth="1"/>
    <col min="36" max="36" width="8.6640625" style="65" customWidth="1"/>
    <col min="37" max="38" width="10.6640625" style="65" customWidth="1"/>
    <col min="39" max="39" width="8.6640625" style="65" customWidth="1"/>
    <col min="40" max="41" width="10.6640625" style="65" customWidth="1"/>
    <col min="42" max="16384" width="8.88671875" style="65"/>
  </cols>
  <sheetData>
    <row r="1" spans="1:41" ht="34.950000000000003" customHeight="1" x14ac:dyDescent="0.3">
      <c r="A1" s="40" t="s">
        <v>407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22.05" customHeight="1" x14ac:dyDescent="0.3">
      <c r="A2" s="41" t="s">
        <v>408</v>
      </c>
      <c r="B2" s="41"/>
      <c r="C2" s="41"/>
      <c r="D2" s="41"/>
      <c r="E2" s="41"/>
      <c r="F2" s="33" t="s">
        <v>364</v>
      </c>
      <c r="G2" s="33"/>
      <c r="H2" s="33"/>
      <c r="I2" s="33" t="s">
        <v>365</v>
      </c>
      <c r="J2" s="33"/>
      <c r="K2" s="33"/>
      <c r="L2" s="33" t="s">
        <v>366</v>
      </c>
      <c r="M2" s="33"/>
      <c r="N2" s="33"/>
      <c r="O2" s="33" t="s">
        <v>367</v>
      </c>
      <c r="P2" s="33"/>
      <c r="Q2" s="33"/>
      <c r="R2" s="33" t="s">
        <v>368</v>
      </c>
      <c r="S2" s="33"/>
      <c r="T2" s="33"/>
      <c r="U2" s="33" t="s">
        <v>369</v>
      </c>
      <c r="V2" s="33"/>
      <c r="W2" s="33"/>
      <c r="X2" s="33" t="s">
        <v>370</v>
      </c>
      <c r="Y2" s="33"/>
      <c r="Z2" s="33"/>
      <c r="AA2" s="33" t="s">
        <v>371</v>
      </c>
      <c r="AB2" s="33"/>
      <c r="AC2" s="33"/>
      <c r="AD2" s="33" t="s">
        <v>372</v>
      </c>
      <c r="AE2" s="33"/>
      <c r="AF2" s="33"/>
      <c r="AG2" s="33" t="s">
        <v>373</v>
      </c>
      <c r="AH2" s="33"/>
      <c r="AI2" s="33"/>
      <c r="AJ2" s="33" t="s">
        <v>374</v>
      </c>
      <c r="AK2" s="33"/>
      <c r="AL2" s="33"/>
      <c r="AM2" s="33" t="s">
        <v>375</v>
      </c>
      <c r="AN2" s="33"/>
      <c r="AO2" s="33"/>
    </row>
    <row r="3" spans="1:41" ht="19.95" customHeight="1" x14ac:dyDescent="0.3">
      <c r="A3" s="1" t="s">
        <v>30</v>
      </c>
      <c r="B3" s="1" t="s">
        <v>376</v>
      </c>
      <c r="C3" s="1" t="s">
        <v>31</v>
      </c>
      <c r="D3" s="1" t="s">
        <v>32</v>
      </c>
      <c r="E3" s="1" t="s">
        <v>34</v>
      </c>
      <c r="F3" s="1" t="s">
        <v>409</v>
      </c>
      <c r="G3" s="16" t="s">
        <v>410</v>
      </c>
      <c r="H3" s="17" t="s">
        <v>411</v>
      </c>
      <c r="I3" s="1" t="s">
        <v>409</v>
      </c>
      <c r="J3" s="16" t="s">
        <v>410</v>
      </c>
      <c r="K3" s="17" t="s">
        <v>411</v>
      </c>
      <c r="L3" s="1" t="s">
        <v>409</v>
      </c>
      <c r="M3" s="16" t="s">
        <v>410</v>
      </c>
      <c r="N3" s="17" t="s">
        <v>411</v>
      </c>
      <c r="O3" s="1" t="s">
        <v>409</v>
      </c>
      <c r="P3" s="16" t="s">
        <v>410</v>
      </c>
      <c r="Q3" s="17" t="s">
        <v>411</v>
      </c>
      <c r="R3" s="1" t="s">
        <v>409</v>
      </c>
      <c r="S3" s="16" t="s">
        <v>410</v>
      </c>
      <c r="T3" s="17" t="s">
        <v>411</v>
      </c>
      <c r="U3" s="1" t="s">
        <v>409</v>
      </c>
      <c r="V3" s="16" t="s">
        <v>410</v>
      </c>
      <c r="W3" s="17" t="s">
        <v>411</v>
      </c>
      <c r="X3" s="1" t="s">
        <v>409</v>
      </c>
      <c r="Y3" s="16" t="s">
        <v>410</v>
      </c>
      <c r="Z3" s="17" t="s">
        <v>411</v>
      </c>
      <c r="AA3" s="1" t="s">
        <v>409</v>
      </c>
      <c r="AB3" s="16" t="s">
        <v>410</v>
      </c>
      <c r="AC3" s="17" t="s">
        <v>411</v>
      </c>
      <c r="AD3" s="1" t="s">
        <v>409</v>
      </c>
      <c r="AE3" s="16" t="s">
        <v>410</v>
      </c>
      <c r="AF3" s="17" t="s">
        <v>411</v>
      </c>
      <c r="AG3" s="1" t="s">
        <v>409</v>
      </c>
      <c r="AH3" s="16" t="s">
        <v>410</v>
      </c>
      <c r="AI3" s="17" t="s">
        <v>411</v>
      </c>
      <c r="AJ3" s="1" t="s">
        <v>409</v>
      </c>
      <c r="AK3" s="16" t="s">
        <v>410</v>
      </c>
      <c r="AL3" s="17" t="s">
        <v>411</v>
      </c>
      <c r="AM3" s="1" t="s">
        <v>409</v>
      </c>
      <c r="AN3" s="16" t="s">
        <v>410</v>
      </c>
      <c r="AO3" s="17" t="s">
        <v>411</v>
      </c>
    </row>
    <row r="4" spans="1:41" x14ac:dyDescent="0.3">
      <c r="A4" s="1"/>
      <c r="B4" s="1"/>
      <c r="C4" s="1"/>
      <c r="D4" s="1"/>
      <c r="E4" s="1"/>
      <c r="F4" s="66" t="s">
        <v>380</v>
      </c>
      <c r="G4" s="66" t="s">
        <v>412</v>
      </c>
      <c r="H4" s="66" t="s">
        <v>412</v>
      </c>
      <c r="I4" s="66" t="s">
        <v>380</v>
      </c>
      <c r="J4" s="66" t="s">
        <v>412</v>
      </c>
      <c r="K4" s="66" t="s">
        <v>412</v>
      </c>
      <c r="L4" s="66" t="s">
        <v>380</v>
      </c>
      <c r="M4" s="66" t="s">
        <v>412</v>
      </c>
      <c r="N4" s="66" t="s">
        <v>412</v>
      </c>
      <c r="O4" s="66" t="s">
        <v>380</v>
      </c>
      <c r="P4" s="66" t="s">
        <v>412</v>
      </c>
      <c r="Q4" s="66" t="s">
        <v>412</v>
      </c>
      <c r="R4" s="66" t="s">
        <v>380</v>
      </c>
      <c r="S4" s="66" t="s">
        <v>412</v>
      </c>
      <c r="T4" s="66" t="s">
        <v>412</v>
      </c>
      <c r="U4" s="66" t="s">
        <v>380</v>
      </c>
      <c r="V4" s="66" t="s">
        <v>412</v>
      </c>
      <c r="W4" s="66" t="s">
        <v>412</v>
      </c>
      <c r="X4" s="66" t="s">
        <v>380</v>
      </c>
      <c r="Y4" s="66" t="s">
        <v>412</v>
      </c>
      <c r="Z4" s="66" t="s">
        <v>412</v>
      </c>
      <c r="AA4" s="66" t="s">
        <v>380</v>
      </c>
      <c r="AB4" s="66" t="s">
        <v>412</v>
      </c>
      <c r="AC4" s="66" t="s">
        <v>412</v>
      </c>
      <c r="AD4" s="66" t="s">
        <v>380</v>
      </c>
      <c r="AE4" s="66" t="s">
        <v>412</v>
      </c>
      <c r="AF4" s="66" t="s">
        <v>412</v>
      </c>
      <c r="AG4" s="66" t="s">
        <v>380</v>
      </c>
      <c r="AH4" s="66" t="s">
        <v>412</v>
      </c>
      <c r="AI4" s="66" t="s">
        <v>412</v>
      </c>
      <c r="AJ4" s="66" t="s">
        <v>380</v>
      </c>
      <c r="AK4" s="66" t="s">
        <v>412</v>
      </c>
      <c r="AL4" s="66" t="s">
        <v>412</v>
      </c>
      <c r="AM4" s="66" t="s">
        <v>380</v>
      </c>
      <c r="AN4" s="66" t="s">
        <v>412</v>
      </c>
      <c r="AO4" s="66" t="s">
        <v>412</v>
      </c>
    </row>
    <row r="5" spans="1:41" ht="19.95" customHeight="1" x14ac:dyDescent="0.3">
      <c r="A5" s="67" t="s">
        <v>413</v>
      </c>
      <c r="B5" s="67"/>
      <c r="C5" s="67"/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</row>
    <row r="6" spans="1:41" ht="25.05" customHeight="1" x14ac:dyDescent="0.3">
      <c r="A6" s="5">
        <v>1</v>
      </c>
      <c r="B6" s="5" t="s">
        <v>383</v>
      </c>
      <c r="C6" s="5" t="s">
        <v>142</v>
      </c>
      <c r="D6" s="6" t="s">
        <v>143</v>
      </c>
      <c r="E6" s="5" t="s">
        <v>145</v>
      </c>
      <c r="F6" s="12" t="s">
        <v>384</v>
      </c>
      <c r="G6" s="13"/>
      <c r="H6" s="13"/>
      <c r="I6" s="12" t="s">
        <v>384</v>
      </c>
      <c r="J6" s="13"/>
      <c r="K6" s="13"/>
      <c r="L6" s="12" t="s">
        <v>384</v>
      </c>
      <c r="M6" s="13"/>
      <c r="N6" s="13"/>
      <c r="O6" s="69" t="s">
        <v>386</v>
      </c>
      <c r="P6" s="69"/>
      <c r="Q6" s="69"/>
      <c r="R6" s="69" t="s">
        <v>386</v>
      </c>
      <c r="S6" s="69"/>
      <c r="T6" s="69"/>
      <c r="U6" s="69" t="s">
        <v>386</v>
      </c>
      <c r="V6" s="69"/>
      <c r="W6" s="69"/>
      <c r="X6" s="69" t="s">
        <v>386</v>
      </c>
      <c r="Y6" s="69"/>
      <c r="Z6" s="69"/>
      <c r="AA6" s="69" t="s">
        <v>386</v>
      </c>
      <c r="AB6" s="69"/>
      <c r="AC6" s="69"/>
      <c r="AD6" s="69" t="s">
        <v>386</v>
      </c>
      <c r="AE6" s="69"/>
      <c r="AF6" s="69"/>
      <c r="AG6" s="69" t="s">
        <v>386</v>
      </c>
      <c r="AH6" s="69"/>
      <c r="AI6" s="69"/>
      <c r="AJ6" s="69" t="s">
        <v>386</v>
      </c>
      <c r="AK6" s="69"/>
      <c r="AL6" s="69"/>
      <c r="AM6" s="69" t="s">
        <v>386</v>
      </c>
      <c r="AN6" s="69"/>
      <c r="AO6" s="69"/>
    </row>
    <row r="7" spans="1:41" ht="25.05" customHeight="1" x14ac:dyDescent="0.3">
      <c r="A7" s="9">
        <v>2</v>
      </c>
      <c r="B7" s="9" t="s">
        <v>383</v>
      </c>
      <c r="C7" s="9" t="s">
        <v>147</v>
      </c>
      <c r="D7" s="10" t="s">
        <v>148</v>
      </c>
      <c r="E7" s="9" t="s">
        <v>150</v>
      </c>
      <c r="F7" s="70" t="s">
        <v>386</v>
      </c>
      <c r="G7" s="70"/>
      <c r="H7" s="70"/>
      <c r="I7" s="12" t="s">
        <v>384</v>
      </c>
      <c r="J7" s="13"/>
      <c r="K7" s="13"/>
      <c r="L7" s="12" t="s">
        <v>384</v>
      </c>
      <c r="M7" s="13"/>
      <c r="N7" s="13"/>
      <c r="O7" s="70" t="s">
        <v>386</v>
      </c>
      <c r="P7" s="70"/>
      <c r="Q7" s="70"/>
      <c r="R7" s="70" t="s">
        <v>386</v>
      </c>
      <c r="S7" s="70"/>
      <c r="T7" s="70"/>
      <c r="U7" s="70" t="s">
        <v>386</v>
      </c>
      <c r="V7" s="70"/>
      <c r="W7" s="70"/>
      <c r="X7" s="70" t="s">
        <v>386</v>
      </c>
      <c r="Y7" s="70"/>
      <c r="Z7" s="70"/>
      <c r="AA7" s="70" t="s">
        <v>386</v>
      </c>
      <c r="AB7" s="70"/>
      <c r="AC7" s="70"/>
      <c r="AD7" s="70" t="s">
        <v>386</v>
      </c>
      <c r="AE7" s="70"/>
      <c r="AF7" s="70"/>
      <c r="AG7" s="70" t="s">
        <v>386</v>
      </c>
      <c r="AH7" s="70"/>
      <c r="AI7" s="70"/>
      <c r="AJ7" s="70" t="s">
        <v>386</v>
      </c>
      <c r="AK7" s="70"/>
      <c r="AL7" s="70"/>
      <c r="AM7" s="70" t="s">
        <v>386</v>
      </c>
      <c r="AN7" s="70"/>
      <c r="AO7" s="70"/>
    </row>
    <row r="8" spans="1:41" ht="25.05" customHeight="1" x14ac:dyDescent="0.3">
      <c r="A8" s="5">
        <v>3</v>
      </c>
      <c r="B8" s="5" t="s">
        <v>383</v>
      </c>
      <c r="C8" s="5" t="s">
        <v>151</v>
      </c>
      <c r="D8" s="6" t="s">
        <v>152</v>
      </c>
      <c r="E8" s="5" t="s">
        <v>150</v>
      </c>
      <c r="F8" s="69" t="s">
        <v>386</v>
      </c>
      <c r="G8" s="69"/>
      <c r="H8" s="69"/>
      <c r="I8" s="12" t="s">
        <v>384</v>
      </c>
      <c r="J8" s="13"/>
      <c r="K8" s="13"/>
      <c r="L8" s="12" t="s">
        <v>384</v>
      </c>
      <c r="M8" s="13"/>
      <c r="N8" s="13"/>
      <c r="O8" s="69" t="s">
        <v>386</v>
      </c>
      <c r="P8" s="69"/>
      <c r="Q8" s="69"/>
      <c r="R8" s="69" t="s">
        <v>386</v>
      </c>
      <c r="S8" s="69"/>
      <c r="T8" s="69"/>
      <c r="U8" s="69" t="s">
        <v>386</v>
      </c>
      <c r="V8" s="69"/>
      <c r="W8" s="69"/>
      <c r="X8" s="69" t="s">
        <v>386</v>
      </c>
      <c r="Y8" s="69"/>
      <c r="Z8" s="69"/>
      <c r="AA8" s="69" t="s">
        <v>386</v>
      </c>
      <c r="AB8" s="69"/>
      <c r="AC8" s="69"/>
      <c r="AD8" s="69" t="s">
        <v>386</v>
      </c>
      <c r="AE8" s="69"/>
      <c r="AF8" s="69"/>
      <c r="AG8" s="69" t="s">
        <v>386</v>
      </c>
      <c r="AH8" s="69"/>
      <c r="AI8" s="69"/>
      <c r="AJ8" s="69" t="s">
        <v>386</v>
      </c>
      <c r="AK8" s="69"/>
      <c r="AL8" s="69"/>
      <c r="AM8" s="69" t="s">
        <v>386</v>
      </c>
      <c r="AN8" s="69"/>
      <c r="AO8" s="69"/>
    </row>
    <row r="9" spans="1:41" ht="25.05" customHeight="1" x14ac:dyDescent="0.3">
      <c r="A9" s="9">
        <v>4</v>
      </c>
      <c r="B9" s="9" t="s">
        <v>383</v>
      </c>
      <c r="C9" s="9" t="s">
        <v>154</v>
      </c>
      <c r="D9" s="10" t="s">
        <v>155</v>
      </c>
      <c r="E9" s="9" t="s">
        <v>145</v>
      </c>
      <c r="F9" s="70" t="s">
        <v>386</v>
      </c>
      <c r="G9" s="70"/>
      <c r="H9" s="70"/>
      <c r="I9" s="70" t="s">
        <v>386</v>
      </c>
      <c r="J9" s="70"/>
      <c r="K9" s="70"/>
      <c r="L9" s="12" t="s">
        <v>384</v>
      </c>
      <c r="M9" s="13"/>
      <c r="N9" s="13"/>
      <c r="O9" s="12" t="s">
        <v>384</v>
      </c>
      <c r="P9" s="13"/>
      <c r="Q9" s="13"/>
      <c r="R9" s="12" t="s">
        <v>384</v>
      </c>
      <c r="S9" s="13"/>
      <c r="T9" s="13"/>
      <c r="U9" s="12" t="s">
        <v>384</v>
      </c>
      <c r="V9" s="13"/>
      <c r="W9" s="13"/>
      <c r="X9" s="12" t="s">
        <v>384</v>
      </c>
      <c r="Y9" s="13"/>
      <c r="Z9" s="13"/>
      <c r="AA9" s="12" t="s">
        <v>384</v>
      </c>
      <c r="AB9" s="13"/>
      <c r="AC9" s="13"/>
      <c r="AD9" s="12" t="s">
        <v>384</v>
      </c>
      <c r="AE9" s="13"/>
      <c r="AF9" s="13"/>
      <c r="AG9" s="12" t="s">
        <v>384</v>
      </c>
      <c r="AH9" s="13"/>
      <c r="AI9" s="13"/>
      <c r="AJ9" s="12" t="s">
        <v>384</v>
      </c>
      <c r="AK9" s="13"/>
      <c r="AL9" s="13"/>
      <c r="AM9" s="12" t="s">
        <v>384</v>
      </c>
      <c r="AN9" s="13"/>
      <c r="AO9" s="13"/>
    </row>
    <row r="10" spans="1:41" ht="25.05" customHeight="1" x14ac:dyDescent="0.3">
      <c r="A10" s="5">
        <v>5</v>
      </c>
      <c r="B10" s="5" t="s">
        <v>388</v>
      </c>
      <c r="C10" s="5" t="s">
        <v>142</v>
      </c>
      <c r="D10" s="6" t="s">
        <v>159</v>
      </c>
      <c r="E10" s="5" t="s">
        <v>150</v>
      </c>
      <c r="F10" s="69" t="s">
        <v>386</v>
      </c>
      <c r="G10" s="69"/>
      <c r="H10" s="69"/>
      <c r="I10" s="12" t="s">
        <v>384</v>
      </c>
      <c r="J10" s="13"/>
      <c r="K10" s="13"/>
      <c r="L10" s="12" t="s">
        <v>384</v>
      </c>
      <c r="M10" s="13"/>
      <c r="N10" s="13"/>
      <c r="O10" s="69" t="s">
        <v>386</v>
      </c>
      <c r="P10" s="69"/>
      <c r="Q10" s="69"/>
      <c r="R10" s="69" t="s">
        <v>386</v>
      </c>
      <c r="S10" s="69"/>
      <c r="T10" s="69"/>
      <c r="U10" s="69" t="s">
        <v>386</v>
      </c>
      <c r="V10" s="69"/>
      <c r="W10" s="69"/>
      <c r="X10" s="69" t="s">
        <v>386</v>
      </c>
      <c r="Y10" s="69"/>
      <c r="Z10" s="69"/>
      <c r="AA10" s="69" t="s">
        <v>386</v>
      </c>
      <c r="AB10" s="69"/>
      <c r="AC10" s="69"/>
      <c r="AD10" s="69" t="s">
        <v>386</v>
      </c>
      <c r="AE10" s="69"/>
      <c r="AF10" s="69"/>
      <c r="AG10" s="69" t="s">
        <v>386</v>
      </c>
      <c r="AH10" s="69"/>
      <c r="AI10" s="69"/>
      <c r="AJ10" s="69" t="s">
        <v>386</v>
      </c>
      <c r="AK10" s="69"/>
      <c r="AL10" s="69"/>
      <c r="AM10" s="69" t="s">
        <v>386</v>
      </c>
      <c r="AN10" s="69"/>
      <c r="AO10" s="69"/>
    </row>
    <row r="11" spans="1:41" ht="25.05" customHeight="1" x14ac:dyDescent="0.3">
      <c r="A11" s="9">
        <v>6</v>
      </c>
      <c r="B11" s="9" t="s">
        <v>388</v>
      </c>
      <c r="C11" s="9" t="s">
        <v>147</v>
      </c>
      <c r="D11" s="10" t="s">
        <v>161</v>
      </c>
      <c r="E11" s="9" t="s">
        <v>150</v>
      </c>
      <c r="F11" s="70" t="s">
        <v>386</v>
      </c>
      <c r="G11" s="70"/>
      <c r="H11" s="70"/>
      <c r="I11" s="12" t="s">
        <v>384</v>
      </c>
      <c r="J11" s="13"/>
      <c r="K11" s="13"/>
      <c r="L11" s="12" t="s">
        <v>384</v>
      </c>
      <c r="M11" s="13"/>
      <c r="N11" s="13"/>
      <c r="O11" s="70" t="s">
        <v>386</v>
      </c>
      <c r="P11" s="70"/>
      <c r="Q11" s="70"/>
      <c r="R11" s="70" t="s">
        <v>386</v>
      </c>
      <c r="S11" s="70"/>
      <c r="T11" s="70"/>
      <c r="U11" s="70" t="s">
        <v>386</v>
      </c>
      <c r="V11" s="70"/>
      <c r="W11" s="70"/>
      <c r="X11" s="70" t="s">
        <v>386</v>
      </c>
      <c r="Y11" s="70"/>
      <c r="Z11" s="70"/>
      <c r="AA11" s="70" t="s">
        <v>386</v>
      </c>
      <c r="AB11" s="70"/>
      <c r="AC11" s="70"/>
      <c r="AD11" s="70" t="s">
        <v>386</v>
      </c>
      <c r="AE11" s="70"/>
      <c r="AF11" s="70"/>
      <c r="AG11" s="70" t="s">
        <v>386</v>
      </c>
      <c r="AH11" s="70"/>
      <c r="AI11" s="70"/>
      <c r="AJ11" s="70" t="s">
        <v>386</v>
      </c>
      <c r="AK11" s="70"/>
      <c r="AL11" s="70"/>
      <c r="AM11" s="70" t="s">
        <v>386</v>
      </c>
      <c r="AN11" s="70"/>
      <c r="AO11" s="70"/>
    </row>
    <row r="12" spans="1:41" ht="25.05" customHeight="1" x14ac:dyDescent="0.3">
      <c r="A12" s="5">
        <v>7</v>
      </c>
      <c r="B12" s="5" t="s">
        <v>388</v>
      </c>
      <c r="C12" s="5" t="s">
        <v>151</v>
      </c>
      <c r="D12" s="6" t="s">
        <v>163</v>
      </c>
      <c r="E12" s="5" t="s">
        <v>145</v>
      </c>
      <c r="F12" s="69" t="s">
        <v>386</v>
      </c>
      <c r="G12" s="69"/>
      <c r="H12" s="69"/>
      <c r="I12" s="12" t="s">
        <v>384</v>
      </c>
      <c r="J12" s="13"/>
      <c r="K12" s="13"/>
      <c r="L12" s="12" t="s">
        <v>384</v>
      </c>
      <c r="M12" s="13"/>
      <c r="N12" s="13"/>
      <c r="O12" s="12" t="s">
        <v>384</v>
      </c>
      <c r="P12" s="13"/>
      <c r="Q12" s="13"/>
      <c r="R12" s="69" t="s">
        <v>386</v>
      </c>
      <c r="S12" s="69"/>
      <c r="T12" s="69"/>
      <c r="U12" s="69" t="s">
        <v>386</v>
      </c>
      <c r="V12" s="69"/>
      <c r="W12" s="69"/>
      <c r="X12" s="69" t="s">
        <v>386</v>
      </c>
      <c r="Y12" s="69"/>
      <c r="Z12" s="69"/>
      <c r="AA12" s="69" t="s">
        <v>386</v>
      </c>
      <c r="AB12" s="69"/>
      <c r="AC12" s="69"/>
      <c r="AD12" s="69" t="s">
        <v>386</v>
      </c>
      <c r="AE12" s="69"/>
      <c r="AF12" s="69"/>
      <c r="AG12" s="69" t="s">
        <v>386</v>
      </c>
      <c r="AH12" s="69"/>
      <c r="AI12" s="69"/>
      <c r="AJ12" s="69" t="s">
        <v>386</v>
      </c>
      <c r="AK12" s="69"/>
      <c r="AL12" s="69"/>
      <c r="AM12" s="69" t="s">
        <v>386</v>
      </c>
      <c r="AN12" s="69"/>
      <c r="AO12" s="69"/>
    </row>
    <row r="13" spans="1:41" ht="25.05" customHeight="1" x14ac:dyDescent="0.3">
      <c r="A13" s="9">
        <v>8</v>
      </c>
      <c r="B13" s="9" t="s">
        <v>388</v>
      </c>
      <c r="C13" s="9" t="s">
        <v>154</v>
      </c>
      <c r="D13" s="10" t="s">
        <v>165</v>
      </c>
      <c r="E13" s="9" t="s">
        <v>145</v>
      </c>
      <c r="F13" s="12" t="s">
        <v>384</v>
      </c>
      <c r="G13" s="13"/>
      <c r="H13" s="13"/>
      <c r="I13" s="12" t="s">
        <v>384</v>
      </c>
      <c r="J13" s="13"/>
      <c r="K13" s="13"/>
      <c r="L13" s="12" t="s">
        <v>384</v>
      </c>
      <c r="M13" s="13"/>
      <c r="N13" s="13"/>
      <c r="O13" s="12" t="s">
        <v>384</v>
      </c>
      <c r="P13" s="13"/>
      <c r="Q13" s="13"/>
      <c r="R13" s="12" t="s">
        <v>384</v>
      </c>
      <c r="S13" s="13"/>
      <c r="T13" s="13"/>
      <c r="U13" s="12" t="s">
        <v>384</v>
      </c>
      <c r="V13" s="13"/>
      <c r="W13" s="13"/>
      <c r="X13" s="70" t="s">
        <v>386</v>
      </c>
      <c r="Y13" s="70"/>
      <c r="Z13" s="70"/>
      <c r="AA13" s="70" t="s">
        <v>386</v>
      </c>
      <c r="AB13" s="70"/>
      <c r="AC13" s="70"/>
      <c r="AD13" s="70" t="s">
        <v>386</v>
      </c>
      <c r="AE13" s="70"/>
      <c r="AF13" s="70"/>
      <c r="AG13" s="70" t="s">
        <v>386</v>
      </c>
      <c r="AH13" s="70"/>
      <c r="AI13" s="70"/>
      <c r="AJ13" s="70" t="s">
        <v>386</v>
      </c>
      <c r="AK13" s="70"/>
      <c r="AL13" s="70"/>
      <c r="AM13" s="70" t="s">
        <v>386</v>
      </c>
      <c r="AN13" s="70"/>
      <c r="AO13" s="70"/>
    </row>
    <row r="14" spans="1:41" ht="25.05" customHeight="1" x14ac:dyDescent="0.3">
      <c r="A14" s="5">
        <v>9</v>
      </c>
      <c r="B14" s="5" t="s">
        <v>388</v>
      </c>
      <c r="C14" s="5" t="s">
        <v>167</v>
      </c>
      <c r="D14" s="6" t="s">
        <v>168</v>
      </c>
      <c r="E14" s="5" t="s">
        <v>145</v>
      </c>
      <c r="F14" s="69" t="s">
        <v>386</v>
      </c>
      <c r="G14" s="69"/>
      <c r="H14" s="69"/>
      <c r="I14" s="69" t="s">
        <v>386</v>
      </c>
      <c r="J14" s="69"/>
      <c r="K14" s="69"/>
      <c r="L14" s="69" t="s">
        <v>386</v>
      </c>
      <c r="M14" s="69"/>
      <c r="N14" s="69"/>
      <c r="O14" s="69" t="s">
        <v>386</v>
      </c>
      <c r="P14" s="69"/>
      <c r="Q14" s="69"/>
      <c r="R14" s="69" t="s">
        <v>386</v>
      </c>
      <c r="S14" s="69"/>
      <c r="T14" s="69"/>
      <c r="U14" s="12" t="s">
        <v>384</v>
      </c>
      <c r="V14" s="13"/>
      <c r="W14" s="13"/>
      <c r="X14" s="12" t="s">
        <v>384</v>
      </c>
      <c r="Y14" s="13"/>
      <c r="Z14" s="13"/>
      <c r="AA14" s="12" t="s">
        <v>384</v>
      </c>
      <c r="AB14" s="13"/>
      <c r="AC14" s="13"/>
      <c r="AD14" s="12" t="s">
        <v>384</v>
      </c>
      <c r="AE14" s="13"/>
      <c r="AF14" s="13"/>
      <c r="AG14" s="12" t="s">
        <v>384</v>
      </c>
      <c r="AH14" s="13"/>
      <c r="AI14" s="13"/>
      <c r="AJ14" s="12" t="s">
        <v>384</v>
      </c>
      <c r="AK14" s="13"/>
      <c r="AL14" s="13"/>
      <c r="AM14" s="12" t="s">
        <v>384</v>
      </c>
      <c r="AN14" s="13"/>
      <c r="AO14" s="13"/>
    </row>
    <row r="15" spans="1:41" ht="25.05" customHeight="1" x14ac:dyDescent="0.3">
      <c r="A15" s="9">
        <v>10</v>
      </c>
      <c r="B15" s="9" t="s">
        <v>389</v>
      </c>
      <c r="C15" s="9" t="s">
        <v>142</v>
      </c>
      <c r="D15" s="10" t="s">
        <v>172</v>
      </c>
      <c r="E15" s="9" t="s">
        <v>150</v>
      </c>
      <c r="F15" s="70" t="s">
        <v>386</v>
      </c>
      <c r="G15" s="70"/>
      <c r="H15" s="70"/>
      <c r="I15" s="12" t="s">
        <v>384</v>
      </c>
      <c r="J15" s="13"/>
      <c r="K15" s="13"/>
      <c r="L15" s="12" t="s">
        <v>384</v>
      </c>
      <c r="M15" s="13"/>
      <c r="N15" s="13"/>
      <c r="O15" s="70" t="s">
        <v>386</v>
      </c>
      <c r="P15" s="70"/>
      <c r="Q15" s="70"/>
      <c r="R15" s="70" t="s">
        <v>386</v>
      </c>
      <c r="S15" s="70"/>
      <c r="T15" s="70"/>
      <c r="U15" s="70" t="s">
        <v>386</v>
      </c>
      <c r="V15" s="70"/>
      <c r="W15" s="70"/>
      <c r="X15" s="70" t="s">
        <v>386</v>
      </c>
      <c r="Y15" s="70"/>
      <c r="Z15" s="70"/>
      <c r="AA15" s="70" t="s">
        <v>386</v>
      </c>
      <c r="AB15" s="70"/>
      <c r="AC15" s="70"/>
      <c r="AD15" s="70" t="s">
        <v>386</v>
      </c>
      <c r="AE15" s="70"/>
      <c r="AF15" s="70"/>
      <c r="AG15" s="70" t="s">
        <v>386</v>
      </c>
      <c r="AH15" s="70"/>
      <c r="AI15" s="70"/>
      <c r="AJ15" s="70" t="s">
        <v>386</v>
      </c>
      <c r="AK15" s="70"/>
      <c r="AL15" s="70"/>
      <c r="AM15" s="70" t="s">
        <v>386</v>
      </c>
      <c r="AN15" s="70"/>
      <c r="AO15" s="70"/>
    </row>
    <row r="16" spans="1:41" ht="25.05" customHeight="1" x14ac:dyDescent="0.3">
      <c r="A16" s="5">
        <v>11</v>
      </c>
      <c r="B16" s="5" t="s">
        <v>389</v>
      </c>
      <c r="C16" s="5" t="s">
        <v>147</v>
      </c>
      <c r="D16" s="6" t="s">
        <v>174</v>
      </c>
      <c r="E16" s="5" t="s">
        <v>176</v>
      </c>
      <c r="F16" s="69" t="s">
        <v>386</v>
      </c>
      <c r="G16" s="69"/>
      <c r="H16" s="69"/>
      <c r="I16" s="12" t="s">
        <v>384</v>
      </c>
      <c r="J16" s="13"/>
      <c r="K16" s="13"/>
      <c r="L16" s="12" t="s">
        <v>384</v>
      </c>
      <c r="M16" s="13"/>
      <c r="N16" s="13"/>
      <c r="O16" s="69" t="s">
        <v>386</v>
      </c>
      <c r="P16" s="69"/>
      <c r="Q16" s="69"/>
      <c r="R16" s="69" t="s">
        <v>386</v>
      </c>
      <c r="S16" s="69"/>
      <c r="T16" s="69"/>
      <c r="U16" s="69" t="s">
        <v>386</v>
      </c>
      <c r="V16" s="69"/>
      <c r="W16" s="69"/>
      <c r="X16" s="69" t="s">
        <v>386</v>
      </c>
      <c r="Y16" s="69"/>
      <c r="Z16" s="69"/>
      <c r="AA16" s="69" t="s">
        <v>386</v>
      </c>
      <c r="AB16" s="69"/>
      <c r="AC16" s="69"/>
      <c r="AD16" s="69" t="s">
        <v>386</v>
      </c>
      <c r="AE16" s="69"/>
      <c r="AF16" s="69"/>
      <c r="AG16" s="69" t="s">
        <v>386</v>
      </c>
      <c r="AH16" s="69"/>
      <c r="AI16" s="69"/>
      <c r="AJ16" s="69" t="s">
        <v>386</v>
      </c>
      <c r="AK16" s="69"/>
      <c r="AL16" s="69"/>
      <c r="AM16" s="69" t="s">
        <v>386</v>
      </c>
      <c r="AN16" s="69"/>
      <c r="AO16" s="69"/>
    </row>
    <row r="17" spans="1:41" ht="25.05" customHeight="1" x14ac:dyDescent="0.3">
      <c r="A17" s="9">
        <v>12</v>
      </c>
      <c r="B17" s="9" t="s">
        <v>389</v>
      </c>
      <c r="C17" s="9" t="s">
        <v>151</v>
      </c>
      <c r="D17" s="10" t="s">
        <v>177</v>
      </c>
      <c r="E17" s="9" t="s">
        <v>145</v>
      </c>
      <c r="F17" s="70" t="s">
        <v>386</v>
      </c>
      <c r="G17" s="70"/>
      <c r="H17" s="70"/>
      <c r="I17" s="70" t="s">
        <v>386</v>
      </c>
      <c r="J17" s="70"/>
      <c r="K17" s="70"/>
      <c r="L17" s="12" t="s">
        <v>384</v>
      </c>
      <c r="M17" s="13"/>
      <c r="N17" s="13"/>
      <c r="O17" s="12" t="s">
        <v>384</v>
      </c>
      <c r="P17" s="13"/>
      <c r="Q17" s="13"/>
      <c r="R17" s="12" t="s">
        <v>384</v>
      </c>
      <c r="S17" s="13"/>
      <c r="T17" s="13"/>
      <c r="U17" s="70" t="s">
        <v>386</v>
      </c>
      <c r="V17" s="70"/>
      <c r="W17" s="70"/>
      <c r="X17" s="70" t="s">
        <v>386</v>
      </c>
      <c r="Y17" s="70"/>
      <c r="Z17" s="70"/>
      <c r="AA17" s="70" t="s">
        <v>386</v>
      </c>
      <c r="AB17" s="70"/>
      <c r="AC17" s="70"/>
      <c r="AD17" s="70" t="s">
        <v>386</v>
      </c>
      <c r="AE17" s="70"/>
      <c r="AF17" s="70"/>
      <c r="AG17" s="70" t="s">
        <v>386</v>
      </c>
      <c r="AH17" s="70"/>
      <c r="AI17" s="70"/>
      <c r="AJ17" s="70" t="s">
        <v>386</v>
      </c>
      <c r="AK17" s="70"/>
      <c r="AL17" s="70"/>
      <c r="AM17" s="70" t="s">
        <v>386</v>
      </c>
      <c r="AN17" s="70"/>
      <c r="AO17" s="70"/>
    </row>
    <row r="18" spans="1:41" ht="25.05" customHeight="1" x14ac:dyDescent="0.3">
      <c r="A18" s="5">
        <v>13</v>
      </c>
      <c r="B18" s="5" t="s">
        <v>389</v>
      </c>
      <c r="C18" s="5" t="s">
        <v>154</v>
      </c>
      <c r="D18" s="6" t="s">
        <v>179</v>
      </c>
      <c r="E18" s="5" t="s">
        <v>145</v>
      </c>
      <c r="F18" s="69" t="s">
        <v>386</v>
      </c>
      <c r="G18" s="69"/>
      <c r="H18" s="69"/>
      <c r="I18" s="69" t="s">
        <v>386</v>
      </c>
      <c r="J18" s="69"/>
      <c r="K18" s="69"/>
      <c r="L18" s="12" t="s">
        <v>384</v>
      </c>
      <c r="M18" s="13"/>
      <c r="N18" s="13"/>
      <c r="O18" s="12" t="s">
        <v>384</v>
      </c>
      <c r="P18" s="13"/>
      <c r="Q18" s="13"/>
      <c r="R18" s="12" t="s">
        <v>384</v>
      </c>
      <c r="S18" s="13"/>
      <c r="T18" s="13"/>
      <c r="U18" s="69" t="s">
        <v>386</v>
      </c>
      <c r="V18" s="69"/>
      <c r="W18" s="69"/>
      <c r="X18" s="69" t="s">
        <v>386</v>
      </c>
      <c r="Y18" s="69"/>
      <c r="Z18" s="69"/>
      <c r="AA18" s="69" t="s">
        <v>386</v>
      </c>
      <c r="AB18" s="69"/>
      <c r="AC18" s="69"/>
      <c r="AD18" s="69" t="s">
        <v>386</v>
      </c>
      <c r="AE18" s="69"/>
      <c r="AF18" s="69"/>
      <c r="AG18" s="69" t="s">
        <v>386</v>
      </c>
      <c r="AH18" s="69"/>
      <c r="AI18" s="69"/>
      <c r="AJ18" s="69" t="s">
        <v>386</v>
      </c>
      <c r="AK18" s="69"/>
      <c r="AL18" s="69"/>
      <c r="AM18" s="69" t="s">
        <v>386</v>
      </c>
      <c r="AN18" s="69"/>
      <c r="AO18" s="69"/>
    </row>
    <row r="19" spans="1:41" ht="25.05" customHeight="1" x14ac:dyDescent="0.3">
      <c r="A19" s="9">
        <v>14</v>
      </c>
      <c r="B19" s="9" t="s">
        <v>389</v>
      </c>
      <c r="C19" s="9" t="s">
        <v>167</v>
      </c>
      <c r="D19" s="10" t="s">
        <v>180</v>
      </c>
      <c r="E19" s="9" t="s">
        <v>145</v>
      </c>
      <c r="F19" s="70" t="s">
        <v>386</v>
      </c>
      <c r="G19" s="70"/>
      <c r="H19" s="70"/>
      <c r="I19" s="70" t="s">
        <v>386</v>
      </c>
      <c r="J19" s="70"/>
      <c r="K19" s="70"/>
      <c r="L19" s="70" t="s">
        <v>386</v>
      </c>
      <c r="M19" s="70"/>
      <c r="N19" s="70"/>
      <c r="O19" s="12" t="s">
        <v>384</v>
      </c>
      <c r="P19" s="13"/>
      <c r="Q19" s="13"/>
      <c r="R19" s="12" t="s">
        <v>384</v>
      </c>
      <c r="S19" s="13"/>
      <c r="T19" s="13"/>
      <c r="U19" s="12" t="s">
        <v>384</v>
      </c>
      <c r="V19" s="13"/>
      <c r="W19" s="13"/>
      <c r="X19" s="12" t="s">
        <v>384</v>
      </c>
      <c r="Y19" s="13"/>
      <c r="Z19" s="13"/>
      <c r="AA19" s="12" t="s">
        <v>384</v>
      </c>
      <c r="AB19" s="13"/>
      <c r="AC19" s="13"/>
      <c r="AD19" s="12" t="s">
        <v>384</v>
      </c>
      <c r="AE19" s="13"/>
      <c r="AF19" s="13"/>
      <c r="AG19" s="12" t="s">
        <v>384</v>
      </c>
      <c r="AH19" s="13"/>
      <c r="AI19" s="13"/>
      <c r="AJ19" s="12" t="s">
        <v>384</v>
      </c>
      <c r="AK19" s="13"/>
      <c r="AL19" s="13"/>
      <c r="AM19" s="12" t="s">
        <v>384</v>
      </c>
      <c r="AN19" s="13"/>
      <c r="AO19" s="13"/>
    </row>
    <row r="20" spans="1:41" ht="25.05" customHeight="1" x14ac:dyDescent="0.3">
      <c r="A20" s="5">
        <v>15</v>
      </c>
      <c r="B20" s="5" t="s">
        <v>390</v>
      </c>
      <c r="C20" s="5" t="s">
        <v>142</v>
      </c>
      <c r="D20" s="6" t="s">
        <v>184</v>
      </c>
      <c r="E20" s="5" t="s">
        <v>145</v>
      </c>
      <c r="F20" s="69" t="s">
        <v>386</v>
      </c>
      <c r="G20" s="69"/>
      <c r="H20" s="69"/>
      <c r="I20" s="69" t="s">
        <v>386</v>
      </c>
      <c r="J20" s="69"/>
      <c r="K20" s="69"/>
      <c r="L20" s="12" t="s">
        <v>384</v>
      </c>
      <c r="M20" s="13"/>
      <c r="N20" s="13"/>
      <c r="O20" s="12" t="s">
        <v>384</v>
      </c>
      <c r="P20" s="13"/>
      <c r="Q20" s="13"/>
      <c r="R20" s="69" t="s">
        <v>386</v>
      </c>
      <c r="S20" s="69"/>
      <c r="T20" s="69"/>
      <c r="U20" s="69" t="s">
        <v>386</v>
      </c>
      <c r="V20" s="69"/>
      <c r="W20" s="69"/>
      <c r="X20" s="69" t="s">
        <v>386</v>
      </c>
      <c r="Y20" s="69"/>
      <c r="Z20" s="69"/>
      <c r="AA20" s="69" t="s">
        <v>386</v>
      </c>
      <c r="AB20" s="69"/>
      <c r="AC20" s="69"/>
      <c r="AD20" s="69" t="s">
        <v>386</v>
      </c>
      <c r="AE20" s="69"/>
      <c r="AF20" s="69"/>
      <c r="AG20" s="69" t="s">
        <v>386</v>
      </c>
      <c r="AH20" s="69"/>
      <c r="AI20" s="69"/>
      <c r="AJ20" s="69" t="s">
        <v>386</v>
      </c>
      <c r="AK20" s="69"/>
      <c r="AL20" s="69"/>
      <c r="AM20" s="69" t="s">
        <v>386</v>
      </c>
      <c r="AN20" s="69"/>
      <c r="AO20" s="69"/>
    </row>
    <row r="21" spans="1:41" ht="25.05" customHeight="1" x14ac:dyDescent="0.3">
      <c r="A21" s="9">
        <v>16</v>
      </c>
      <c r="B21" s="9" t="s">
        <v>390</v>
      </c>
      <c r="C21" s="9" t="s">
        <v>147</v>
      </c>
      <c r="D21" s="10" t="s">
        <v>186</v>
      </c>
      <c r="E21" s="9" t="s">
        <v>150</v>
      </c>
      <c r="F21" s="70" t="s">
        <v>386</v>
      </c>
      <c r="G21" s="70"/>
      <c r="H21" s="70"/>
      <c r="I21" s="70" t="s">
        <v>386</v>
      </c>
      <c r="J21" s="70"/>
      <c r="K21" s="70"/>
      <c r="L21" s="70" t="s">
        <v>386</v>
      </c>
      <c r="M21" s="70"/>
      <c r="N21" s="70"/>
      <c r="O21" s="12" t="s">
        <v>384</v>
      </c>
      <c r="P21" s="13"/>
      <c r="Q21" s="13"/>
      <c r="R21" s="70" t="s">
        <v>386</v>
      </c>
      <c r="S21" s="70"/>
      <c r="T21" s="70"/>
      <c r="U21" s="70" t="s">
        <v>386</v>
      </c>
      <c r="V21" s="70"/>
      <c r="W21" s="70"/>
      <c r="X21" s="70" t="s">
        <v>386</v>
      </c>
      <c r="Y21" s="70"/>
      <c r="Z21" s="70"/>
      <c r="AA21" s="70" t="s">
        <v>386</v>
      </c>
      <c r="AB21" s="70"/>
      <c r="AC21" s="70"/>
      <c r="AD21" s="70" t="s">
        <v>386</v>
      </c>
      <c r="AE21" s="70"/>
      <c r="AF21" s="70"/>
      <c r="AG21" s="70" t="s">
        <v>386</v>
      </c>
      <c r="AH21" s="70"/>
      <c r="AI21" s="70"/>
      <c r="AJ21" s="70" t="s">
        <v>386</v>
      </c>
      <c r="AK21" s="70"/>
      <c r="AL21" s="70"/>
      <c r="AM21" s="70" t="s">
        <v>386</v>
      </c>
      <c r="AN21" s="70"/>
      <c r="AO21" s="70"/>
    </row>
    <row r="22" spans="1:41" ht="25.05" customHeight="1" x14ac:dyDescent="0.3">
      <c r="A22" s="5">
        <v>17</v>
      </c>
      <c r="B22" s="5" t="s">
        <v>390</v>
      </c>
      <c r="C22" s="5" t="s">
        <v>151</v>
      </c>
      <c r="D22" s="6" t="s">
        <v>188</v>
      </c>
      <c r="E22" s="5" t="s">
        <v>190</v>
      </c>
      <c r="F22" s="69" t="s">
        <v>386</v>
      </c>
      <c r="G22" s="69"/>
      <c r="H22" s="69"/>
      <c r="I22" s="69" t="s">
        <v>386</v>
      </c>
      <c r="J22" s="69"/>
      <c r="K22" s="69"/>
      <c r="L22" s="69" t="s">
        <v>386</v>
      </c>
      <c r="M22" s="69"/>
      <c r="N22" s="69"/>
      <c r="O22" s="12" t="s">
        <v>384</v>
      </c>
      <c r="P22" s="13"/>
      <c r="Q22" s="13"/>
      <c r="R22" s="12" t="s">
        <v>384</v>
      </c>
      <c r="S22" s="13"/>
      <c r="T22" s="13"/>
      <c r="U22" s="69" t="s">
        <v>386</v>
      </c>
      <c r="V22" s="69"/>
      <c r="W22" s="69"/>
      <c r="X22" s="69" t="s">
        <v>386</v>
      </c>
      <c r="Y22" s="69"/>
      <c r="Z22" s="69"/>
      <c r="AA22" s="69" t="s">
        <v>386</v>
      </c>
      <c r="AB22" s="69"/>
      <c r="AC22" s="69"/>
      <c r="AD22" s="69" t="s">
        <v>386</v>
      </c>
      <c r="AE22" s="69"/>
      <c r="AF22" s="69"/>
      <c r="AG22" s="69" t="s">
        <v>386</v>
      </c>
      <c r="AH22" s="69"/>
      <c r="AI22" s="69"/>
      <c r="AJ22" s="69" t="s">
        <v>386</v>
      </c>
      <c r="AK22" s="69"/>
      <c r="AL22" s="69"/>
      <c r="AM22" s="69" t="s">
        <v>386</v>
      </c>
      <c r="AN22" s="69"/>
      <c r="AO22" s="69"/>
    </row>
    <row r="23" spans="1:41" ht="25.05" customHeight="1" x14ac:dyDescent="0.3">
      <c r="A23" s="9">
        <v>18</v>
      </c>
      <c r="B23" s="9" t="s">
        <v>390</v>
      </c>
      <c r="C23" s="9" t="s">
        <v>154</v>
      </c>
      <c r="D23" s="10" t="s">
        <v>191</v>
      </c>
      <c r="E23" s="9" t="s">
        <v>145</v>
      </c>
      <c r="F23" s="70" t="s">
        <v>386</v>
      </c>
      <c r="G23" s="70"/>
      <c r="H23" s="70"/>
      <c r="I23" s="70" t="s">
        <v>386</v>
      </c>
      <c r="J23" s="70"/>
      <c r="K23" s="70"/>
      <c r="L23" s="70" t="s">
        <v>386</v>
      </c>
      <c r="M23" s="70"/>
      <c r="N23" s="70"/>
      <c r="O23" s="12" t="s">
        <v>384</v>
      </c>
      <c r="P23" s="13"/>
      <c r="Q23" s="13"/>
      <c r="R23" s="12" t="s">
        <v>384</v>
      </c>
      <c r="S23" s="13"/>
      <c r="T23" s="13"/>
      <c r="U23" s="12" t="s">
        <v>384</v>
      </c>
      <c r="V23" s="13"/>
      <c r="W23" s="13"/>
      <c r="X23" s="12" t="s">
        <v>384</v>
      </c>
      <c r="Y23" s="13"/>
      <c r="Z23" s="13"/>
      <c r="AA23" s="12" t="s">
        <v>384</v>
      </c>
      <c r="AB23" s="13"/>
      <c r="AC23" s="13"/>
      <c r="AD23" s="12" t="s">
        <v>384</v>
      </c>
      <c r="AE23" s="13"/>
      <c r="AF23" s="13"/>
      <c r="AG23" s="12" t="s">
        <v>384</v>
      </c>
      <c r="AH23" s="13"/>
      <c r="AI23" s="13"/>
      <c r="AJ23" s="12" t="s">
        <v>384</v>
      </c>
      <c r="AK23" s="13"/>
      <c r="AL23" s="13"/>
      <c r="AM23" s="12" t="s">
        <v>384</v>
      </c>
      <c r="AN23" s="13"/>
      <c r="AO23" s="13"/>
    </row>
    <row r="24" spans="1:41" ht="25.05" customHeight="1" x14ac:dyDescent="0.3">
      <c r="A24" s="5">
        <v>19</v>
      </c>
      <c r="B24" s="5" t="s">
        <v>391</v>
      </c>
      <c r="C24" s="5" t="s">
        <v>142</v>
      </c>
      <c r="D24" s="6" t="s">
        <v>196</v>
      </c>
      <c r="E24" s="5" t="s">
        <v>198</v>
      </c>
      <c r="F24" s="69" t="s">
        <v>386</v>
      </c>
      <c r="G24" s="69"/>
      <c r="H24" s="69"/>
      <c r="I24" s="69" t="s">
        <v>386</v>
      </c>
      <c r="J24" s="69"/>
      <c r="K24" s="69"/>
      <c r="L24" s="12" t="s">
        <v>384</v>
      </c>
      <c r="M24" s="13"/>
      <c r="N24" s="13"/>
      <c r="O24" s="69" t="s">
        <v>386</v>
      </c>
      <c r="P24" s="69"/>
      <c r="Q24" s="69"/>
      <c r="R24" s="69" t="s">
        <v>386</v>
      </c>
      <c r="S24" s="69"/>
      <c r="T24" s="69"/>
      <c r="U24" s="69" t="s">
        <v>386</v>
      </c>
      <c r="V24" s="69"/>
      <c r="W24" s="69"/>
      <c r="X24" s="69" t="s">
        <v>386</v>
      </c>
      <c r="Y24" s="69"/>
      <c r="Z24" s="69"/>
      <c r="AA24" s="69" t="s">
        <v>386</v>
      </c>
      <c r="AB24" s="69"/>
      <c r="AC24" s="69"/>
      <c r="AD24" s="69" t="s">
        <v>386</v>
      </c>
      <c r="AE24" s="69"/>
      <c r="AF24" s="69"/>
      <c r="AG24" s="69" t="s">
        <v>386</v>
      </c>
      <c r="AH24" s="69"/>
      <c r="AI24" s="69"/>
      <c r="AJ24" s="69" t="s">
        <v>386</v>
      </c>
      <c r="AK24" s="69"/>
      <c r="AL24" s="69"/>
      <c r="AM24" s="69" t="s">
        <v>386</v>
      </c>
      <c r="AN24" s="69"/>
      <c r="AO24" s="69"/>
    </row>
    <row r="25" spans="1:41" ht="25.05" customHeight="1" x14ac:dyDescent="0.3">
      <c r="A25" s="9">
        <v>20</v>
      </c>
      <c r="B25" s="9" t="s">
        <v>391</v>
      </c>
      <c r="C25" s="9" t="s">
        <v>147</v>
      </c>
      <c r="D25" s="10" t="s">
        <v>199</v>
      </c>
      <c r="E25" s="9" t="s">
        <v>201</v>
      </c>
      <c r="F25" s="70" t="s">
        <v>386</v>
      </c>
      <c r="G25" s="70"/>
      <c r="H25" s="70"/>
      <c r="I25" s="70" t="s">
        <v>386</v>
      </c>
      <c r="J25" s="70"/>
      <c r="K25" s="70"/>
      <c r="L25" s="12" t="s">
        <v>384</v>
      </c>
      <c r="M25" s="13"/>
      <c r="N25" s="13"/>
      <c r="O25" s="12" t="s">
        <v>384</v>
      </c>
      <c r="P25" s="13"/>
      <c r="Q25" s="13"/>
      <c r="R25" s="70" t="s">
        <v>386</v>
      </c>
      <c r="S25" s="70"/>
      <c r="T25" s="70"/>
      <c r="U25" s="70" t="s">
        <v>386</v>
      </c>
      <c r="V25" s="70"/>
      <c r="W25" s="70"/>
      <c r="X25" s="70" t="s">
        <v>386</v>
      </c>
      <c r="Y25" s="70"/>
      <c r="Z25" s="70"/>
      <c r="AA25" s="70" t="s">
        <v>386</v>
      </c>
      <c r="AB25" s="70"/>
      <c r="AC25" s="70"/>
      <c r="AD25" s="70" t="s">
        <v>386</v>
      </c>
      <c r="AE25" s="70"/>
      <c r="AF25" s="70"/>
      <c r="AG25" s="70" t="s">
        <v>386</v>
      </c>
      <c r="AH25" s="70"/>
      <c r="AI25" s="70"/>
      <c r="AJ25" s="70" t="s">
        <v>386</v>
      </c>
      <c r="AK25" s="70"/>
      <c r="AL25" s="70"/>
      <c r="AM25" s="70" t="s">
        <v>386</v>
      </c>
      <c r="AN25" s="70"/>
      <c r="AO25" s="70"/>
    </row>
    <row r="26" spans="1:41" ht="25.05" customHeight="1" x14ac:dyDescent="0.3">
      <c r="A26" s="5">
        <v>21</v>
      </c>
      <c r="B26" s="5" t="s">
        <v>391</v>
      </c>
      <c r="C26" s="5" t="s">
        <v>151</v>
      </c>
      <c r="D26" s="6" t="s">
        <v>202</v>
      </c>
      <c r="E26" s="5" t="s">
        <v>145</v>
      </c>
      <c r="F26" s="69" t="s">
        <v>386</v>
      </c>
      <c r="G26" s="69"/>
      <c r="H26" s="69"/>
      <c r="I26" s="69" t="s">
        <v>386</v>
      </c>
      <c r="J26" s="69"/>
      <c r="K26" s="69"/>
      <c r="L26" s="69" t="s">
        <v>386</v>
      </c>
      <c r="M26" s="69"/>
      <c r="N26" s="69"/>
      <c r="O26" s="12" t="s">
        <v>384</v>
      </c>
      <c r="P26" s="13"/>
      <c r="Q26" s="13"/>
      <c r="R26" s="12" t="s">
        <v>384</v>
      </c>
      <c r="S26" s="13"/>
      <c r="T26" s="13"/>
      <c r="U26" s="12" t="s">
        <v>384</v>
      </c>
      <c r="V26" s="13"/>
      <c r="W26" s="13"/>
      <c r="X26" s="12" t="s">
        <v>384</v>
      </c>
      <c r="Y26" s="13"/>
      <c r="Z26" s="13"/>
      <c r="AA26" s="12" t="s">
        <v>384</v>
      </c>
      <c r="AB26" s="13"/>
      <c r="AC26" s="13"/>
      <c r="AD26" s="12" t="s">
        <v>384</v>
      </c>
      <c r="AE26" s="13"/>
      <c r="AF26" s="13"/>
      <c r="AG26" s="12" t="s">
        <v>384</v>
      </c>
      <c r="AH26" s="13"/>
      <c r="AI26" s="13"/>
      <c r="AJ26" s="12" t="s">
        <v>384</v>
      </c>
      <c r="AK26" s="13"/>
      <c r="AL26" s="13"/>
      <c r="AM26" s="12" t="s">
        <v>384</v>
      </c>
      <c r="AN26" s="13"/>
      <c r="AO26" s="13"/>
    </row>
    <row r="27" spans="1:41" ht="25.05" customHeight="1" x14ac:dyDescent="0.3">
      <c r="A27" s="9">
        <v>22</v>
      </c>
      <c r="B27" s="9" t="s">
        <v>391</v>
      </c>
      <c r="C27" s="9" t="s">
        <v>154</v>
      </c>
      <c r="D27" s="10" t="s">
        <v>204</v>
      </c>
      <c r="E27" s="9" t="s">
        <v>206</v>
      </c>
      <c r="F27" s="70" t="s">
        <v>386</v>
      </c>
      <c r="G27" s="70"/>
      <c r="H27" s="70"/>
      <c r="I27" s="70" t="s">
        <v>386</v>
      </c>
      <c r="J27" s="70"/>
      <c r="K27" s="70"/>
      <c r="L27" s="70" t="s">
        <v>386</v>
      </c>
      <c r="M27" s="70"/>
      <c r="N27" s="70"/>
      <c r="O27" s="70" t="s">
        <v>386</v>
      </c>
      <c r="P27" s="70"/>
      <c r="Q27" s="70"/>
      <c r="R27" s="70" t="s">
        <v>386</v>
      </c>
      <c r="S27" s="70"/>
      <c r="T27" s="70"/>
      <c r="U27" s="12" t="s">
        <v>384</v>
      </c>
      <c r="V27" s="13"/>
      <c r="W27" s="13"/>
      <c r="X27" s="70" t="s">
        <v>386</v>
      </c>
      <c r="Y27" s="70"/>
      <c r="Z27" s="70"/>
      <c r="AA27" s="70" t="s">
        <v>386</v>
      </c>
      <c r="AB27" s="70"/>
      <c r="AC27" s="70"/>
      <c r="AD27" s="12" t="s">
        <v>384</v>
      </c>
      <c r="AE27" s="13"/>
      <c r="AF27" s="13"/>
      <c r="AG27" s="70" t="s">
        <v>386</v>
      </c>
      <c r="AH27" s="70"/>
      <c r="AI27" s="70"/>
      <c r="AJ27" s="70" t="s">
        <v>386</v>
      </c>
      <c r="AK27" s="70"/>
      <c r="AL27" s="70"/>
      <c r="AM27" s="12" t="s">
        <v>384</v>
      </c>
      <c r="AN27" s="13"/>
      <c r="AO27" s="13"/>
    </row>
    <row r="28" spans="1:41" ht="25.05" customHeight="1" x14ac:dyDescent="0.3">
      <c r="A28" s="5">
        <v>23</v>
      </c>
      <c r="B28" s="5" t="s">
        <v>391</v>
      </c>
      <c r="C28" s="5" t="s">
        <v>167</v>
      </c>
      <c r="D28" s="6" t="s">
        <v>207</v>
      </c>
      <c r="E28" s="5" t="s">
        <v>145</v>
      </c>
      <c r="F28" s="69" t="s">
        <v>386</v>
      </c>
      <c r="G28" s="69"/>
      <c r="H28" s="69"/>
      <c r="I28" s="69" t="s">
        <v>386</v>
      </c>
      <c r="J28" s="69"/>
      <c r="K28" s="69"/>
      <c r="L28" s="69" t="s">
        <v>386</v>
      </c>
      <c r="M28" s="69"/>
      <c r="N28" s="69"/>
      <c r="O28" s="69" t="s">
        <v>386</v>
      </c>
      <c r="P28" s="69"/>
      <c r="Q28" s="69"/>
      <c r="R28" s="69" t="s">
        <v>386</v>
      </c>
      <c r="S28" s="69"/>
      <c r="T28" s="69"/>
      <c r="U28" s="12" t="s">
        <v>384</v>
      </c>
      <c r="V28" s="13"/>
      <c r="W28" s="13"/>
      <c r="X28" s="12" t="s">
        <v>384</v>
      </c>
      <c r="Y28" s="13"/>
      <c r="Z28" s="13"/>
      <c r="AA28" s="12" t="s">
        <v>384</v>
      </c>
      <c r="AB28" s="13"/>
      <c r="AC28" s="13"/>
      <c r="AD28" s="12" t="s">
        <v>384</v>
      </c>
      <c r="AE28" s="13"/>
      <c r="AF28" s="13"/>
      <c r="AG28" s="12" t="s">
        <v>384</v>
      </c>
      <c r="AH28" s="13"/>
      <c r="AI28" s="13"/>
      <c r="AJ28" s="12" t="s">
        <v>384</v>
      </c>
      <c r="AK28" s="13"/>
      <c r="AL28" s="13"/>
      <c r="AM28" s="12" t="s">
        <v>384</v>
      </c>
      <c r="AN28" s="13"/>
      <c r="AO28" s="13"/>
    </row>
    <row r="29" spans="1:41" ht="25.05" customHeight="1" x14ac:dyDescent="0.3">
      <c r="A29" s="9">
        <v>24</v>
      </c>
      <c r="B29" s="9" t="s">
        <v>392</v>
      </c>
      <c r="C29" s="9" t="s">
        <v>142</v>
      </c>
      <c r="D29" s="10" t="s">
        <v>211</v>
      </c>
      <c r="E29" s="9" t="s">
        <v>213</v>
      </c>
      <c r="F29" s="70" t="s">
        <v>386</v>
      </c>
      <c r="G29" s="70"/>
      <c r="H29" s="70"/>
      <c r="I29" s="12" t="s">
        <v>384</v>
      </c>
      <c r="J29" s="13"/>
      <c r="K29" s="13"/>
      <c r="L29" s="12" t="s">
        <v>384</v>
      </c>
      <c r="M29" s="13"/>
      <c r="N29" s="13"/>
      <c r="O29" s="70" t="s">
        <v>386</v>
      </c>
      <c r="P29" s="70"/>
      <c r="Q29" s="70"/>
      <c r="R29" s="70" t="s">
        <v>386</v>
      </c>
      <c r="S29" s="70"/>
      <c r="T29" s="70"/>
      <c r="U29" s="70" t="s">
        <v>386</v>
      </c>
      <c r="V29" s="70"/>
      <c r="W29" s="70"/>
      <c r="X29" s="70" t="s">
        <v>386</v>
      </c>
      <c r="Y29" s="70"/>
      <c r="Z29" s="70"/>
      <c r="AA29" s="70" t="s">
        <v>386</v>
      </c>
      <c r="AB29" s="70"/>
      <c r="AC29" s="70"/>
      <c r="AD29" s="70" t="s">
        <v>386</v>
      </c>
      <c r="AE29" s="70"/>
      <c r="AF29" s="70"/>
      <c r="AG29" s="70" t="s">
        <v>386</v>
      </c>
      <c r="AH29" s="70"/>
      <c r="AI29" s="70"/>
      <c r="AJ29" s="70" t="s">
        <v>386</v>
      </c>
      <c r="AK29" s="70"/>
      <c r="AL29" s="70"/>
      <c r="AM29" s="70" t="s">
        <v>386</v>
      </c>
      <c r="AN29" s="70"/>
      <c r="AO29" s="70"/>
    </row>
    <row r="30" spans="1:41" ht="25.05" customHeight="1" x14ac:dyDescent="0.3">
      <c r="A30" s="5">
        <v>25</v>
      </c>
      <c r="B30" s="5" t="s">
        <v>392</v>
      </c>
      <c r="C30" s="5" t="s">
        <v>147</v>
      </c>
      <c r="D30" s="6" t="s">
        <v>214</v>
      </c>
      <c r="E30" s="5" t="s">
        <v>216</v>
      </c>
      <c r="F30" s="69" t="s">
        <v>386</v>
      </c>
      <c r="G30" s="69"/>
      <c r="H30" s="69"/>
      <c r="I30" s="69" t="s">
        <v>386</v>
      </c>
      <c r="J30" s="69"/>
      <c r="K30" s="69"/>
      <c r="L30" s="12" t="s">
        <v>384</v>
      </c>
      <c r="M30" s="13"/>
      <c r="N30" s="13"/>
      <c r="O30" s="12" t="s">
        <v>384</v>
      </c>
      <c r="P30" s="13"/>
      <c r="Q30" s="13"/>
      <c r="R30" s="69" t="s">
        <v>386</v>
      </c>
      <c r="S30" s="69"/>
      <c r="T30" s="69"/>
      <c r="U30" s="69" t="s">
        <v>386</v>
      </c>
      <c r="V30" s="69"/>
      <c r="W30" s="69"/>
      <c r="X30" s="69" t="s">
        <v>386</v>
      </c>
      <c r="Y30" s="69"/>
      <c r="Z30" s="69"/>
      <c r="AA30" s="69" t="s">
        <v>386</v>
      </c>
      <c r="AB30" s="69"/>
      <c r="AC30" s="69"/>
      <c r="AD30" s="69" t="s">
        <v>386</v>
      </c>
      <c r="AE30" s="69"/>
      <c r="AF30" s="69"/>
      <c r="AG30" s="69" t="s">
        <v>386</v>
      </c>
      <c r="AH30" s="69"/>
      <c r="AI30" s="69"/>
      <c r="AJ30" s="69" t="s">
        <v>386</v>
      </c>
      <c r="AK30" s="69"/>
      <c r="AL30" s="69"/>
      <c r="AM30" s="69" t="s">
        <v>386</v>
      </c>
      <c r="AN30" s="69"/>
      <c r="AO30" s="69"/>
    </row>
    <row r="31" spans="1:41" ht="25.05" customHeight="1" x14ac:dyDescent="0.3">
      <c r="A31" s="9">
        <v>26</v>
      </c>
      <c r="B31" s="9" t="s">
        <v>392</v>
      </c>
      <c r="C31" s="9" t="s">
        <v>151</v>
      </c>
      <c r="D31" s="10" t="s">
        <v>217</v>
      </c>
      <c r="E31" s="9" t="s">
        <v>216</v>
      </c>
      <c r="F31" s="70" t="s">
        <v>386</v>
      </c>
      <c r="G31" s="70"/>
      <c r="H31" s="70"/>
      <c r="I31" s="70" t="s">
        <v>386</v>
      </c>
      <c r="J31" s="70"/>
      <c r="K31" s="70"/>
      <c r="L31" s="70" t="s">
        <v>386</v>
      </c>
      <c r="M31" s="70"/>
      <c r="N31" s="70"/>
      <c r="O31" s="12" t="s">
        <v>384</v>
      </c>
      <c r="P31" s="13"/>
      <c r="Q31" s="13"/>
      <c r="R31" s="12" t="s">
        <v>384</v>
      </c>
      <c r="S31" s="13"/>
      <c r="T31" s="13"/>
      <c r="U31" s="70" t="s">
        <v>386</v>
      </c>
      <c r="V31" s="70"/>
      <c r="W31" s="70"/>
      <c r="X31" s="70" t="s">
        <v>386</v>
      </c>
      <c r="Y31" s="70"/>
      <c r="Z31" s="70"/>
      <c r="AA31" s="70" t="s">
        <v>386</v>
      </c>
      <c r="AB31" s="70"/>
      <c r="AC31" s="70"/>
      <c r="AD31" s="70" t="s">
        <v>386</v>
      </c>
      <c r="AE31" s="70"/>
      <c r="AF31" s="70"/>
      <c r="AG31" s="70" t="s">
        <v>386</v>
      </c>
      <c r="AH31" s="70"/>
      <c r="AI31" s="70"/>
      <c r="AJ31" s="70" t="s">
        <v>386</v>
      </c>
      <c r="AK31" s="70"/>
      <c r="AL31" s="70"/>
      <c r="AM31" s="70" t="s">
        <v>386</v>
      </c>
      <c r="AN31" s="70"/>
      <c r="AO31" s="70"/>
    </row>
    <row r="32" spans="1:41" ht="25.05" customHeight="1" x14ac:dyDescent="0.3">
      <c r="A32" s="5">
        <v>27</v>
      </c>
      <c r="B32" s="5" t="s">
        <v>392</v>
      </c>
      <c r="C32" s="5" t="s">
        <v>154</v>
      </c>
      <c r="D32" s="6" t="s">
        <v>219</v>
      </c>
      <c r="E32" s="5" t="s">
        <v>213</v>
      </c>
      <c r="F32" s="69" t="s">
        <v>386</v>
      </c>
      <c r="G32" s="69"/>
      <c r="H32" s="69"/>
      <c r="I32" s="69" t="s">
        <v>386</v>
      </c>
      <c r="J32" s="69"/>
      <c r="K32" s="69"/>
      <c r="L32" s="69" t="s">
        <v>386</v>
      </c>
      <c r="M32" s="69"/>
      <c r="N32" s="69"/>
      <c r="O32" s="69" t="s">
        <v>386</v>
      </c>
      <c r="P32" s="69"/>
      <c r="Q32" s="69"/>
      <c r="R32" s="12" t="s">
        <v>384</v>
      </c>
      <c r="S32" s="13"/>
      <c r="T32" s="13"/>
      <c r="U32" s="12" t="s">
        <v>384</v>
      </c>
      <c r="V32" s="13"/>
      <c r="W32" s="13"/>
      <c r="X32" s="69" t="s">
        <v>386</v>
      </c>
      <c r="Y32" s="69"/>
      <c r="Z32" s="69"/>
      <c r="AA32" s="69" t="s">
        <v>386</v>
      </c>
      <c r="AB32" s="69"/>
      <c r="AC32" s="69"/>
      <c r="AD32" s="69" t="s">
        <v>386</v>
      </c>
      <c r="AE32" s="69"/>
      <c r="AF32" s="69"/>
      <c r="AG32" s="69" t="s">
        <v>386</v>
      </c>
      <c r="AH32" s="69"/>
      <c r="AI32" s="69"/>
      <c r="AJ32" s="69" t="s">
        <v>386</v>
      </c>
      <c r="AK32" s="69"/>
      <c r="AL32" s="69"/>
      <c r="AM32" s="69" t="s">
        <v>386</v>
      </c>
      <c r="AN32" s="69"/>
      <c r="AO32" s="69"/>
    </row>
    <row r="33" spans="1:41" ht="25.05" customHeight="1" x14ac:dyDescent="0.3">
      <c r="A33" s="9">
        <v>28</v>
      </c>
      <c r="B33" s="9" t="s">
        <v>392</v>
      </c>
      <c r="C33" s="9" t="s">
        <v>167</v>
      </c>
      <c r="D33" s="10" t="s">
        <v>221</v>
      </c>
      <c r="E33" s="9" t="s">
        <v>223</v>
      </c>
      <c r="F33" s="70" t="s">
        <v>386</v>
      </c>
      <c r="G33" s="70"/>
      <c r="H33" s="70"/>
      <c r="I33" s="70" t="s">
        <v>386</v>
      </c>
      <c r="J33" s="70"/>
      <c r="K33" s="70"/>
      <c r="L33" s="70" t="s">
        <v>386</v>
      </c>
      <c r="M33" s="70"/>
      <c r="N33" s="70"/>
      <c r="O33" s="70" t="s">
        <v>386</v>
      </c>
      <c r="P33" s="70"/>
      <c r="Q33" s="70"/>
      <c r="R33" s="12" t="s">
        <v>384</v>
      </c>
      <c r="S33" s="13"/>
      <c r="T33" s="13"/>
      <c r="U33" s="12" t="s">
        <v>384</v>
      </c>
      <c r="V33" s="13"/>
      <c r="W33" s="13"/>
      <c r="X33" s="70" t="s">
        <v>386</v>
      </c>
      <c r="Y33" s="70"/>
      <c r="Z33" s="70"/>
      <c r="AA33" s="70" t="s">
        <v>386</v>
      </c>
      <c r="AB33" s="70"/>
      <c r="AC33" s="70"/>
      <c r="AD33" s="70" t="s">
        <v>386</v>
      </c>
      <c r="AE33" s="70"/>
      <c r="AF33" s="70"/>
      <c r="AG33" s="70" t="s">
        <v>386</v>
      </c>
      <c r="AH33" s="70"/>
      <c r="AI33" s="70"/>
      <c r="AJ33" s="70" t="s">
        <v>386</v>
      </c>
      <c r="AK33" s="70"/>
      <c r="AL33" s="70"/>
      <c r="AM33" s="70" t="s">
        <v>386</v>
      </c>
      <c r="AN33" s="70"/>
      <c r="AO33" s="70"/>
    </row>
    <row r="34" spans="1:41" ht="25.05" customHeight="1" x14ac:dyDescent="0.3">
      <c r="A34" s="5">
        <v>29</v>
      </c>
      <c r="B34" s="5" t="s">
        <v>392</v>
      </c>
      <c r="C34" s="5" t="s">
        <v>224</v>
      </c>
      <c r="D34" s="6" t="s">
        <v>225</v>
      </c>
      <c r="E34" s="5" t="s">
        <v>145</v>
      </c>
      <c r="F34" s="69" t="s">
        <v>386</v>
      </c>
      <c r="G34" s="69"/>
      <c r="H34" s="69"/>
      <c r="I34" s="69" t="s">
        <v>386</v>
      </c>
      <c r="J34" s="69"/>
      <c r="K34" s="69"/>
      <c r="L34" s="69" t="s">
        <v>386</v>
      </c>
      <c r="M34" s="69"/>
      <c r="N34" s="69"/>
      <c r="O34" s="69" t="s">
        <v>386</v>
      </c>
      <c r="P34" s="69"/>
      <c r="Q34" s="69"/>
      <c r="R34" s="69" t="s">
        <v>386</v>
      </c>
      <c r="S34" s="69"/>
      <c r="T34" s="69"/>
      <c r="U34" s="12" t="s">
        <v>384</v>
      </c>
      <c r="V34" s="13"/>
      <c r="W34" s="13"/>
      <c r="X34" s="12" t="s">
        <v>384</v>
      </c>
      <c r="Y34" s="13"/>
      <c r="Z34" s="13"/>
      <c r="AA34" s="12" t="s">
        <v>384</v>
      </c>
      <c r="AB34" s="13"/>
      <c r="AC34" s="13"/>
      <c r="AD34" s="12" t="s">
        <v>384</v>
      </c>
      <c r="AE34" s="13"/>
      <c r="AF34" s="13"/>
      <c r="AG34" s="12" t="s">
        <v>384</v>
      </c>
      <c r="AH34" s="13"/>
      <c r="AI34" s="13"/>
      <c r="AJ34" s="12" t="s">
        <v>384</v>
      </c>
      <c r="AK34" s="13"/>
      <c r="AL34" s="13"/>
      <c r="AM34" s="12" t="s">
        <v>384</v>
      </c>
      <c r="AN34" s="13"/>
      <c r="AO34" s="13"/>
    </row>
    <row r="35" spans="1:41" ht="25.05" customHeight="1" x14ac:dyDescent="0.3">
      <c r="A35" s="9">
        <v>30</v>
      </c>
      <c r="B35" s="9" t="s">
        <v>393</v>
      </c>
      <c r="C35" s="9" t="s">
        <v>142</v>
      </c>
      <c r="D35" s="10" t="s">
        <v>229</v>
      </c>
      <c r="E35" s="9" t="s">
        <v>231</v>
      </c>
      <c r="F35" s="70" t="s">
        <v>386</v>
      </c>
      <c r="G35" s="70"/>
      <c r="H35" s="70"/>
      <c r="I35" s="12" t="s">
        <v>384</v>
      </c>
      <c r="J35" s="13"/>
      <c r="K35" s="13"/>
      <c r="L35" s="12" t="s">
        <v>384</v>
      </c>
      <c r="M35" s="13"/>
      <c r="N35" s="13"/>
      <c r="O35" s="12" t="s">
        <v>384</v>
      </c>
      <c r="P35" s="13"/>
      <c r="Q35" s="13"/>
      <c r="R35" s="70" t="s">
        <v>386</v>
      </c>
      <c r="S35" s="70"/>
      <c r="T35" s="70"/>
      <c r="U35" s="70" t="s">
        <v>386</v>
      </c>
      <c r="V35" s="70"/>
      <c r="W35" s="70"/>
      <c r="X35" s="70" t="s">
        <v>386</v>
      </c>
      <c r="Y35" s="70"/>
      <c r="Z35" s="70"/>
      <c r="AA35" s="70" t="s">
        <v>386</v>
      </c>
      <c r="AB35" s="70"/>
      <c r="AC35" s="70"/>
      <c r="AD35" s="70" t="s">
        <v>386</v>
      </c>
      <c r="AE35" s="70"/>
      <c r="AF35" s="70"/>
      <c r="AG35" s="70" t="s">
        <v>386</v>
      </c>
      <c r="AH35" s="70"/>
      <c r="AI35" s="70"/>
      <c r="AJ35" s="70" t="s">
        <v>386</v>
      </c>
      <c r="AK35" s="70"/>
      <c r="AL35" s="70"/>
      <c r="AM35" s="70" t="s">
        <v>386</v>
      </c>
      <c r="AN35" s="70"/>
      <c r="AO35" s="70"/>
    </row>
    <row r="36" spans="1:41" ht="25.05" customHeight="1" x14ac:dyDescent="0.3">
      <c r="A36" s="5">
        <v>31</v>
      </c>
      <c r="B36" s="5" t="s">
        <v>393</v>
      </c>
      <c r="C36" s="5" t="s">
        <v>147</v>
      </c>
      <c r="D36" s="6" t="s">
        <v>232</v>
      </c>
      <c r="E36" s="5" t="s">
        <v>145</v>
      </c>
      <c r="F36" s="69" t="s">
        <v>386</v>
      </c>
      <c r="G36" s="69"/>
      <c r="H36" s="69"/>
      <c r="I36" s="69" t="s">
        <v>386</v>
      </c>
      <c r="J36" s="69"/>
      <c r="K36" s="69"/>
      <c r="L36" s="69" t="s">
        <v>386</v>
      </c>
      <c r="M36" s="69"/>
      <c r="N36" s="69"/>
      <c r="O36" s="69" t="s">
        <v>386</v>
      </c>
      <c r="P36" s="69"/>
      <c r="Q36" s="69"/>
      <c r="R36" s="12" t="s">
        <v>384</v>
      </c>
      <c r="S36" s="13"/>
      <c r="T36" s="13"/>
      <c r="U36" s="12" t="s">
        <v>384</v>
      </c>
      <c r="V36" s="13"/>
      <c r="W36" s="13"/>
      <c r="X36" s="69" t="s">
        <v>386</v>
      </c>
      <c r="Y36" s="69"/>
      <c r="Z36" s="69"/>
      <c r="AA36" s="69" t="s">
        <v>386</v>
      </c>
      <c r="AB36" s="69"/>
      <c r="AC36" s="69"/>
      <c r="AD36" s="69" t="s">
        <v>386</v>
      </c>
      <c r="AE36" s="69"/>
      <c r="AF36" s="69"/>
      <c r="AG36" s="69" t="s">
        <v>386</v>
      </c>
      <c r="AH36" s="69"/>
      <c r="AI36" s="69"/>
      <c r="AJ36" s="69" t="s">
        <v>386</v>
      </c>
      <c r="AK36" s="69"/>
      <c r="AL36" s="69"/>
      <c r="AM36" s="69" t="s">
        <v>386</v>
      </c>
      <c r="AN36" s="69"/>
      <c r="AO36" s="69"/>
    </row>
    <row r="37" spans="1:41" ht="25.05" customHeight="1" x14ac:dyDescent="0.3">
      <c r="A37" s="9">
        <v>32</v>
      </c>
      <c r="B37" s="9" t="s">
        <v>393</v>
      </c>
      <c r="C37" s="9" t="s">
        <v>151</v>
      </c>
      <c r="D37" s="10" t="s">
        <v>234</v>
      </c>
      <c r="E37" s="9" t="s">
        <v>145</v>
      </c>
      <c r="F37" s="70" t="s">
        <v>386</v>
      </c>
      <c r="G37" s="70"/>
      <c r="H37" s="70"/>
      <c r="I37" s="70" t="s">
        <v>386</v>
      </c>
      <c r="J37" s="70"/>
      <c r="K37" s="70"/>
      <c r="L37" s="70" t="s">
        <v>386</v>
      </c>
      <c r="M37" s="70"/>
      <c r="N37" s="70"/>
      <c r="O37" s="70" t="s">
        <v>386</v>
      </c>
      <c r="P37" s="70"/>
      <c r="Q37" s="70"/>
      <c r="R37" s="70" t="s">
        <v>386</v>
      </c>
      <c r="S37" s="70"/>
      <c r="T37" s="70"/>
      <c r="U37" s="12" t="s">
        <v>384</v>
      </c>
      <c r="V37" s="13"/>
      <c r="W37" s="13"/>
      <c r="X37" s="12" t="s">
        <v>384</v>
      </c>
      <c r="Y37" s="13"/>
      <c r="Z37" s="13"/>
      <c r="AA37" s="12" t="s">
        <v>384</v>
      </c>
      <c r="AB37" s="13"/>
      <c r="AC37" s="13"/>
      <c r="AD37" s="12" t="s">
        <v>384</v>
      </c>
      <c r="AE37" s="13"/>
      <c r="AF37" s="13"/>
      <c r="AG37" s="12" t="s">
        <v>384</v>
      </c>
      <c r="AH37" s="13"/>
      <c r="AI37" s="13"/>
      <c r="AJ37" s="12" t="s">
        <v>384</v>
      </c>
      <c r="AK37" s="13"/>
      <c r="AL37" s="13"/>
      <c r="AM37" s="12" t="s">
        <v>384</v>
      </c>
      <c r="AN37" s="13"/>
      <c r="AO37" s="13"/>
    </row>
    <row r="38" spans="1:41" ht="25.05" customHeight="1" x14ac:dyDescent="0.3">
      <c r="A38" s="5">
        <v>33</v>
      </c>
      <c r="B38" s="5" t="s">
        <v>394</v>
      </c>
      <c r="C38" s="5" t="s">
        <v>142</v>
      </c>
      <c r="D38" s="6" t="s">
        <v>238</v>
      </c>
      <c r="E38" s="5" t="s">
        <v>145</v>
      </c>
      <c r="F38" s="69" t="s">
        <v>386</v>
      </c>
      <c r="G38" s="69"/>
      <c r="H38" s="69"/>
      <c r="I38" s="12" t="s">
        <v>384</v>
      </c>
      <c r="J38" s="13"/>
      <c r="K38" s="13"/>
      <c r="L38" s="12" t="s">
        <v>384</v>
      </c>
      <c r="M38" s="13"/>
      <c r="N38" s="13"/>
      <c r="O38" s="69" t="s">
        <v>386</v>
      </c>
      <c r="P38" s="69"/>
      <c r="Q38" s="69"/>
      <c r="R38" s="69" t="s">
        <v>386</v>
      </c>
      <c r="S38" s="69"/>
      <c r="T38" s="69"/>
      <c r="U38" s="69" t="s">
        <v>386</v>
      </c>
      <c r="V38" s="69"/>
      <c r="W38" s="69"/>
      <c r="X38" s="69" t="s">
        <v>386</v>
      </c>
      <c r="Y38" s="69"/>
      <c r="Z38" s="69"/>
      <c r="AA38" s="69" t="s">
        <v>386</v>
      </c>
      <c r="AB38" s="69"/>
      <c r="AC38" s="69"/>
      <c r="AD38" s="69" t="s">
        <v>386</v>
      </c>
      <c r="AE38" s="69"/>
      <c r="AF38" s="69"/>
      <c r="AG38" s="69" t="s">
        <v>386</v>
      </c>
      <c r="AH38" s="69"/>
      <c r="AI38" s="69"/>
      <c r="AJ38" s="69" t="s">
        <v>386</v>
      </c>
      <c r="AK38" s="69"/>
      <c r="AL38" s="69"/>
      <c r="AM38" s="69" t="s">
        <v>386</v>
      </c>
      <c r="AN38" s="69"/>
      <c r="AO38" s="69"/>
    </row>
    <row r="39" spans="1:41" ht="25.05" customHeight="1" x14ac:dyDescent="0.3">
      <c r="A39" s="9">
        <v>34</v>
      </c>
      <c r="B39" s="9" t="s">
        <v>394</v>
      </c>
      <c r="C39" s="9" t="s">
        <v>147</v>
      </c>
      <c r="D39" s="10" t="s">
        <v>240</v>
      </c>
      <c r="E39" s="9" t="s">
        <v>145</v>
      </c>
      <c r="F39" s="70" t="s">
        <v>386</v>
      </c>
      <c r="G39" s="70"/>
      <c r="H39" s="70"/>
      <c r="I39" s="70" t="s">
        <v>386</v>
      </c>
      <c r="J39" s="70"/>
      <c r="K39" s="70"/>
      <c r="L39" s="12" t="s">
        <v>384</v>
      </c>
      <c r="M39" s="13"/>
      <c r="N39" s="13"/>
      <c r="O39" s="12" t="s">
        <v>384</v>
      </c>
      <c r="P39" s="13"/>
      <c r="Q39" s="13"/>
      <c r="R39" s="70" t="s">
        <v>386</v>
      </c>
      <c r="S39" s="70"/>
      <c r="T39" s="70"/>
      <c r="U39" s="12" t="s">
        <v>384</v>
      </c>
      <c r="V39" s="13"/>
      <c r="W39" s="13"/>
      <c r="X39" s="12" t="s">
        <v>384</v>
      </c>
      <c r="Y39" s="13"/>
      <c r="Z39" s="13"/>
      <c r="AA39" s="70" t="s">
        <v>386</v>
      </c>
      <c r="AB39" s="70"/>
      <c r="AC39" s="70"/>
      <c r="AD39" s="12" t="s">
        <v>384</v>
      </c>
      <c r="AE39" s="13"/>
      <c r="AF39" s="13"/>
      <c r="AG39" s="12" t="s">
        <v>384</v>
      </c>
      <c r="AH39" s="13"/>
      <c r="AI39" s="13"/>
      <c r="AJ39" s="70" t="s">
        <v>386</v>
      </c>
      <c r="AK39" s="70"/>
      <c r="AL39" s="70"/>
      <c r="AM39" s="12" t="s">
        <v>384</v>
      </c>
      <c r="AN39" s="13"/>
      <c r="AO39" s="13"/>
    </row>
    <row r="40" spans="1:41" ht="25.05" customHeight="1" x14ac:dyDescent="0.3">
      <c r="A40" s="5">
        <v>35</v>
      </c>
      <c r="B40" s="5" t="s">
        <v>394</v>
      </c>
      <c r="C40" s="5" t="s">
        <v>151</v>
      </c>
      <c r="D40" s="6" t="s">
        <v>242</v>
      </c>
      <c r="E40" s="5" t="s">
        <v>198</v>
      </c>
      <c r="F40" s="69" t="s">
        <v>386</v>
      </c>
      <c r="G40" s="69"/>
      <c r="H40" s="69"/>
      <c r="I40" s="69" t="s">
        <v>386</v>
      </c>
      <c r="J40" s="69"/>
      <c r="K40" s="69"/>
      <c r="L40" s="69" t="s">
        <v>386</v>
      </c>
      <c r="M40" s="69"/>
      <c r="N40" s="69"/>
      <c r="O40" s="69" t="s">
        <v>386</v>
      </c>
      <c r="P40" s="69"/>
      <c r="Q40" s="69"/>
      <c r="R40" s="12" t="s">
        <v>384</v>
      </c>
      <c r="S40" s="13"/>
      <c r="T40" s="13"/>
      <c r="U40" s="69" t="s">
        <v>386</v>
      </c>
      <c r="V40" s="69"/>
      <c r="W40" s="69"/>
      <c r="X40" s="69" t="s">
        <v>386</v>
      </c>
      <c r="Y40" s="69"/>
      <c r="Z40" s="69"/>
      <c r="AA40" s="12" t="s">
        <v>384</v>
      </c>
      <c r="AB40" s="13"/>
      <c r="AC40" s="13"/>
      <c r="AD40" s="69" t="s">
        <v>386</v>
      </c>
      <c r="AE40" s="69"/>
      <c r="AF40" s="69"/>
      <c r="AG40" s="69" t="s">
        <v>386</v>
      </c>
      <c r="AH40" s="69"/>
      <c r="AI40" s="69"/>
      <c r="AJ40" s="12" t="s">
        <v>384</v>
      </c>
      <c r="AK40" s="13"/>
      <c r="AL40" s="13"/>
      <c r="AM40" s="69" t="s">
        <v>386</v>
      </c>
      <c r="AN40" s="69"/>
      <c r="AO40" s="69"/>
    </row>
    <row r="41" spans="1:41" ht="25.05" customHeight="1" x14ac:dyDescent="0.3">
      <c r="A41" s="9">
        <v>36</v>
      </c>
      <c r="B41" s="9" t="s">
        <v>395</v>
      </c>
      <c r="C41" s="9" t="s">
        <v>142</v>
      </c>
      <c r="D41" s="10" t="s">
        <v>246</v>
      </c>
      <c r="E41" s="9" t="s">
        <v>248</v>
      </c>
      <c r="F41" s="70" t="s">
        <v>386</v>
      </c>
      <c r="G41" s="70"/>
      <c r="H41" s="70"/>
      <c r="I41" s="70" t="s">
        <v>386</v>
      </c>
      <c r="J41" s="70"/>
      <c r="K41" s="70"/>
      <c r="L41" s="12" t="s">
        <v>384</v>
      </c>
      <c r="M41" s="13"/>
      <c r="N41" s="13"/>
      <c r="O41" s="70" t="s">
        <v>386</v>
      </c>
      <c r="P41" s="70"/>
      <c r="Q41" s="70"/>
      <c r="R41" s="70" t="s">
        <v>386</v>
      </c>
      <c r="S41" s="70"/>
      <c r="T41" s="70"/>
      <c r="U41" s="70" t="s">
        <v>386</v>
      </c>
      <c r="V41" s="70"/>
      <c r="W41" s="70"/>
      <c r="X41" s="70" t="s">
        <v>386</v>
      </c>
      <c r="Y41" s="70"/>
      <c r="Z41" s="70"/>
      <c r="AA41" s="70" t="s">
        <v>386</v>
      </c>
      <c r="AB41" s="70"/>
      <c r="AC41" s="70"/>
      <c r="AD41" s="70" t="s">
        <v>386</v>
      </c>
      <c r="AE41" s="70"/>
      <c r="AF41" s="70"/>
      <c r="AG41" s="70" t="s">
        <v>386</v>
      </c>
      <c r="AH41" s="70"/>
      <c r="AI41" s="70"/>
      <c r="AJ41" s="70" t="s">
        <v>386</v>
      </c>
      <c r="AK41" s="70"/>
      <c r="AL41" s="70"/>
      <c r="AM41" s="70" t="s">
        <v>386</v>
      </c>
      <c r="AN41" s="70"/>
      <c r="AO41" s="70"/>
    </row>
    <row r="42" spans="1:41" ht="25.05" customHeight="1" x14ac:dyDescent="0.3">
      <c r="A42" s="5">
        <v>37</v>
      </c>
      <c r="B42" s="5" t="s">
        <v>395</v>
      </c>
      <c r="C42" s="5" t="s">
        <v>147</v>
      </c>
      <c r="D42" s="6" t="s">
        <v>249</v>
      </c>
      <c r="E42" s="5" t="s">
        <v>248</v>
      </c>
      <c r="F42" s="69" t="s">
        <v>386</v>
      </c>
      <c r="G42" s="69"/>
      <c r="H42" s="69"/>
      <c r="I42" s="69" t="s">
        <v>386</v>
      </c>
      <c r="J42" s="69"/>
      <c r="K42" s="69"/>
      <c r="L42" s="12" t="s">
        <v>384</v>
      </c>
      <c r="M42" s="13"/>
      <c r="N42" s="13"/>
      <c r="O42" s="12" t="s">
        <v>384</v>
      </c>
      <c r="P42" s="13"/>
      <c r="Q42" s="13"/>
      <c r="R42" s="69" t="s">
        <v>386</v>
      </c>
      <c r="S42" s="69"/>
      <c r="T42" s="69"/>
      <c r="U42" s="69" t="s">
        <v>386</v>
      </c>
      <c r="V42" s="69"/>
      <c r="W42" s="69"/>
      <c r="X42" s="69" t="s">
        <v>386</v>
      </c>
      <c r="Y42" s="69"/>
      <c r="Z42" s="69"/>
      <c r="AA42" s="69" t="s">
        <v>386</v>
      </c>
      <c r="AB42" s="69"/>
      <c r="AC42" s="69"/>
      <c r="AD42" s="69" t="s">
        <v>386</v>
      </c>
      <c r="AE42" s="69"/>
      <c r="AF42" s="69"/>
      <c r="AG42" s="69" t="s">
        <v>386</v>
      </c>
      <c r="AH42" s="69"/>
      <c r="AI42" s="69"/>
      <c r="AJ42" s="69" t="s">
        <v>386</v>
      </c>
      <c r="AK42" s="69"/>
      <c r="AL42" s="69"/>
      <c r="AM42" s="69" t="s">
        <v>386</v>
      </c>
      <c r="AN42" s="69"/>
      <c r="AO42" s="69"/>
    </row>
    <row r="43" spans="1:41" ht="25.05" customHeight="1" x14ac:dyDescent="0.3">
      <c r="A43" s="9">
        <v>38</v>
      </c>
      <c r="B43" s="9" t="s">
        <v>395</v>
      </c>
      <c r="C43" s="9" t="s">
        <v>151</v>
      </c>
      <c r="D43" s="10" t="s">
        <v>251</v>
      </c>
      <c r="E43" s="9" t="s">
        <v>248</v>
      </c>
      <c r="F43" s="70" t="s">
        <v>386</v>
      </c>
      <c r="G43" s="70"/>
      <c r="H43" s="70"/>
      <c r="I43" s="70" t="s">
        <v>386</v>
      </c>
      <c r="J43" s="70"/>
      <c r="K43" s="70"/>
      <c r="L43" s="70" t="s">
        <v>386</v>
      </c>
      <c r="M43" s="70"/>
      <c r="N43" s="70"/>
      <c r="O43" s="12" t="s">
        <v>384</v>
      </c>
      <c r="P43" s="13"/>
      <c r="Q43" s="13"/>
      <c r="R43" s="70" t="s">
        <v>386</v>
      </c>
      <c r="S43" s="70"/>
      <c r="T43" s="70"/>
      <c r="U43" s="70" t="s">
        <v>386</v>
      </c>
      <c r="V43" s="70"/>
      <c r="W43" s="70"/>
      <c r="X43" s="70" t="s">
        <v>386</v>
      </c>
      <c r="Y43" s="70"/>
      <c r="Z43" s="70"/>
      <c r="AA43" s="70" t="s">
        <v>386</v>
      </c>
      <c r="AB43" s="70"/>
      <c r="AC43" s="70"/>
      <c r="AD43" s="70" t="s">
        <v>386</v>
      </c>
      <c r="AE43" s="70"/>
      <c r="AF43" s="70"/>
      <c r="AG43" s="70" t="s">
        <v>386</v>
      </c>
      <c r="AH43" s="70"/>
      <c r="AI43" s="70"/>
      <c r="AJ43" s="70" t="s">
        <v>386</v>
      </c>
      <c r="AK43" s="70"/>
      <c r="AL43" s="70"/>
      <c r="AM43" s="70" t="s">
        <v>386</v>
      </c>
      <c r="AN43" s="70"/>
      <c r="AO43" s="70"/>
    </row>
    <row r="44" spans="1:41" ht="25.05" customHeight="1" x14ac:dyDescent="0.3">
      <c r="A44" s="5">
        <v>39</v>
      </c>
      <c r="B44" s="5" t="s">
        <v>395</v>
      </c>
      <c r="C44" s="5" t="s">
        <v>154</v>
      </c>
      <c r="D44" s="6" t="s">
        <v>253</v>
      </c>
      <c r="E44" s="5" t="s">
        <v>145</v>
      </c>
      <c r="F44" s="69" t="s">
        <v>386</v>
      </c>
      <c r="G44" s="69"/>
      <c r="H44" s="69"/>
      <c r="I44" s="69" t="s">
        <v>386</v>
      </c>
      <c r="J44" s="69"/>
      <c r="K44" s="69"/>
      <c r="L44" s="69" t="s">
        <v>386</v>
      </c>
      <c r="M44" s="69"/>
      <c r="N44" s="69"/>
      <c r="O44" s="69" t="s">
        <v>386</v>
      </c>
      <c r="P44" s="69"/>
      <c r="Q44" s="69"/>
      <c r="R44" s="12" t="s">
        <v>384</v>
      </c>
      <c r="S44" s="13"/>
      <c r="T44" s="13"/>
      <c r="U44" s="12" t="s">
        <v>384</v>
      </c>
      <c r="V44" s="13"/>
      <c r="W44" s="13"/>
      <c r="X44" s="69" t="s">
        <v>386</v>
      </c>
      <c r="Y44" s="69"/>
      <c r="Z44" s="69"/>
      <c r="AA44" s="69" t="s">
        <v>386</v>
      </c>
      <c r="AB44" s="69"/>
      <c r="AC44" s="69"/>
      <c r="AD44" s="69" t="s">
        <v>386</v>
      </c>
      <c r="AE44" s="69"/>
      <c r="AF44" s="69"/>
      <c r="AG44" s="69" t="s">
        <v>386</v>
      </c>
      <c r="AH44" s="69"/>
      <c r="AI44" s="69"/>
      <c r="AJ44" s="69" t="s">
        <v>386</v>
      </c>
      <c r="AK44" s="69"/>
      <c r="AL44" s="69"/>
      <c r="AM44" s="69" t="s">
        <v>386</v>
      </c>
      <c r="AN44" s="69"/>
      <c r="AO44" s="69"/>
    </row>
    <row r="45" spans="1:41" ht="25.05" customHeight="1" x14ac:dyDescent="0.3">
      <c r="A45" s="9">
        <v>40</v>
      </c>
      <c r="B45" s="9" t="s">
        <v>395</v>
      </c>
      <c r="C45" s="9" t="s">
        <v>167</v>
      </c>
      <c r="D45" s="10" t="s">
        <v>255</v>
      </c>
      <c r="E45" s="9" t="s">
        <v>145</v>
      </c>
      <c r="F45" s="70" t="s">
        <v>386</v>
      </c>
      <c r="G45" s="70"/>
      <c r="H45" s="70"/>
      <c r="I45" s="70" t="s">
        <v>386</v>
      </c>
      <c r="J45" s="70"/>
      <c r="K45" s="70"/>
      <c r="L45" s="70" t="s">
        <v>386</v>
      </c>
      <c r="M45" s="70"/>
      <c r="N45" s="70"/>
      <c r="O45" s="70" t="s">
        <v>386</v>
      </c>
      <c r="P45" s="70"/>
      <c r="Q45" s="70"/>
      <c r="R45" s="70" t="s">
        <v>386</v>
      </c>
      <c r="S45" s="70"/>
      <c r="T45" s="70"/>
      <c r="U45" s="70" t="s">
        <v>386</v>
      </c>
      <c r="V45" s="70"/>
      <c r="W45" s="70"/>
      <c r="X45" s="12" t="s">
        <v>384</v>
      </c>
      <c r="Y45" s="13"/>
      <c r="Z45" s="13"/>
      <c r="AA45" s="12" t="s">
        <v>384</v>
      </c>
      <c r="AB45" s="13"/>
      <c r="AC45" s="13"/>
      <c r="AD45" s="12" t="s">
        <v>384</v>
      </c>
      <c r="AE45" s="13"/>
      <c r="AF45" s="13"/>
      <c r="AG45" s="12" t="s">
        <v>384</v>
      </c>
      <c r="AH45" s="13"/>
      <c r="AI45" s="13"/>
      <c r="AJ45" s="12" t="s">
        <v>384</v>
      </c>
      <c r="AK45" s="13"/>
      <c r="AL45" s="13"/>
      <c r="AM45" s="12" t="s">
        <v>384</v>
      </c>
      <c r="AN45" s="13"/>
      <c r="AO45" s="13"/>
    </row>
    <row r="46" spans="1:41" ht="25.05" customHeight="1" x14ac:dyDescent="0.3">
      <c r="A46" s="5">
        <v>41</v>
      </c>
      <c r="B46" s="5" t="s">
        <v>395</v>
      </c>
      <c r="C46" s="5" t="s">
        <v>224</v>
      </c>
      <c r="D46" s="6" t="s">
        <v>256</v>
      </c>
      <c r="E46" s="5" t="s">
        <v>145</v>
      </c>
      <c r="F46" s="69" t="s">
        <v>386</v>
      </c>
      <c r="G46" s="69"/>
      <c r="H46" s="69"/>
      <c r="I46" s="69" t="s">
        <v>386</v>
      </c>
      <c r="J46" s="69"/>
      <c r="K46" s="69"/>
      <c r="L46" s="69" t="s">
        <v>386</v>
      </c>
      <c r="M46" s="69"/>
      <c r="N46" s="69"/>
      <c r="O46" s="69" t="s">
        <v>386</v>
      </c>
      <c r="P46" s="69"/>
      <c r="Q46" s="69"/>
      <c r="R46" s="69" t="s">
        <v>386</v>
      </c>
      <c r="S46" s="69"/>
      <c r="T46" s="69"/>
      <c r="U46" s="69" t="s">
        <v>386</v>
      </c>
      <c r="V46" s="69"/>
      <c r="W46" s="69"/>
      <c r="X46" s="12" t="s">
        <v>384</v>
      </c>
      <c r="Y46" s="13"/>
      <c r="Z46" s="13"/>
      <c r="AA46" s="12" t="s">
        <v>384</v>
      </c>
      <c r="AB46" s="13"/>
      <c r="AC46" s="13"/>
      <c r="AD46" s="12" t="s">
        <v>384</v>
      </c>
      <c r="AE46" s="13"/>
      <c r="AF46" s="13"/>
      <c r="AG46" s="12" t="s">
        <v>384</v>
      </c>
      <c r="AH46" s="13"/>
      <c r="AI46" s="13"/>
      <c r="AJ46" s="12" t="s">
        <v>384</v>
      </c>
      <c r="AK46" s="13"/>
      <c r="AL46" s="13"/>
      <c r="AM46" s="12" t="s">
        <v>384</v>
      </c>
      <c r="AN46" s="13"/>
      <c r="AO46" s="13"/>
    </row>
    <row r="47" spans="1:41" ht="25.05" customHeight="1" x14ac:dyDescent="0.3">
      <c r="A47" s="9">
        <v>42</v>
      </c>
      <c r="B47" s="9" t="s">
        <v>396</v>
      </c>
      <c r="C47" s="9" t="s">
        <v>142</v>
      </c>
      <c r="D47" s="10" t="s">
        <v>261</v>
      </c>
      <c r="E47" s="9" t="s">
        <v>263</v>
      </c>
      <c r="F47" s="70" t="s">
        <v>386</v>
      </c>
      <c r="G47" s="70"/>
      <c r="H47" s="70"/>
      <c r="I47" s="70" t="s">
        <v>386</v>
      </c>
      <c r="J47" s="70"/>
      <c r="K47" s="70"/>
      <c r="L47" s="70" t="s">
        <v>386</v>
      </c>
      <c r="M47" s="70"/>
      <c r="N47" s="70"/>
      <c r="O47" s="70" t="s">
        <v>386</v>
      </c>
      <c r="P47" s="70"/>
      <c r="Q47" s="70"/>
      <c r="R47" s="70" t="s">
        <v>386</v>
      </c>
      <c r="S47" s="70"/>
      <c r="T47" s="70"/>
      <c r="U47" s="70" t="s">
        <v>386</v>
      </c>
      <c r="V47" s="70"/>
      <c r="W47" s="70"/>
      <c r="X47" s="12" t="s">
        <v>384</v>
      </c>
      <c r="Y47" s="13"/>
      <c r="Z47" s="13"/>
      <c r="AA47" s="12" t="s">
        <v>384</v>
      </c>
      <c r="AB47" s="13"/>
      <c r="AC47" s="13"/>
      <c r="AD47" s="70" t="s">
        <v>386</v>
      </c>
      <c r="AE47" s="70"/>
      <c r="AF47" s="70"/>
      <c r="AG47" s="70" t="s">
        <v>386</v>
      </c>
      <c r="AH47" s="70"/>
      <c r="AI47" s="70"/>
      <c r="AJ47" s="70" t="s">
        <v>386</v>
      </c>
      <c r="AK47" s="70"/>
      <c r="AL47" s="70"/>
      <c r="AM47" s="70" t="s">
        <v>386</v>
      </c>
      <c r="AN47" s="70"/>
      <c r="AO47" s="70"/>
    </row>
    <row r="48" spans="1:41" ht="25.05" customHeight="1" x14ac:dyDescent="0.3">
      <c r="A48" s="5">
        <v>43</v>
      </c>
      <c r="B48" s="5" t="s">
        <v>396</v>
      </c>
      <c r="C48" s="5" t="s">
        <v>147</v>
      </c>
      <c r="D48" s="6" t="s">
        <v>264</v>
      </c>
      <c r="E48" s="5" t="s">
        <v>263</v>
      </c>
      <c r="F48" s="69" t="s">
        <v>386</v>
      </c>
      <c r="G48" s="69"/>
      <c r="H48" s="69"/>
      <c r="I48" s="69" t="s">
        <v>386</v>
      </c>
      <c r="J48" s="69"/>
      <c r="K48" s="69"/>
      <c r="L48" s="69" t="s">
        <v>386</v>
      </c>
      <c r="M48" s="69"/>
      <c r="N48" s="69"/>
      <c r="O48" s="69" t="s">
        <v>386</v>
      </c>
      <c r="P48" s="69"/>
      <c r="Q48" s="69"/>
      <c r="R48" s="69" t="s">
        <v>386</v>
      </c>
      <c r="S48" s="69"/>
      <c r="T48" s="69"/>
      <c r="U48" s="69" t="s">
        <v>386</v>
      </c>
      <c r="V48" s="69"/>
      <c r="W48" s="69"/>
      <c r="X48" s="12" t="s">
        <v>384</v>
      </c>
      <c r="Y48" s="13"/>
      <c r="Z48" s="13"/>
      <c r="AA48" s="12" t="s">
        <v>384</v>
      </c>
      <c r="AB48" s="13"/>
      <c r="AC48" s="13"/>
      <c r="AD48" s="69" t="s">
        <v>386</v>
      </c>
      <c r="AE48" s="69"/>
      <c r="AF48" s="69"/>
      <c r="AG48" s="69" t="s">
        <v>386</v>
      </c>
      <c r="AH48" s="69"/>
      <c r="AI48" s="69"/>
      <c r="AJ48" s="69" t="s">
        <v>386</v>
      </c>
      <c r="AK48" s="69"/>
      <c r="AL48" s="69"/>
      <c r="AM48" s="69" t="s">
        <v>386</v>
      </c>
      <c r="AN48" s="69"/>
      <c r="AO48" s="69"/>
    </row>
    <row r="49" spans="1:41" ht="25.05" customHeight="1" x14ac:dyDescent="0.3">
      <c r="A49" s="9">
        <v>44</v>
      </c>
      <c r="B49" s="9" t="s">
        <v>396</v>
      </c>
      <c r="C49" s="9" t="s">
        <v>151</v>
      </c>
      <c r="D49" s="10" t="s">
        <v>266</v>
      </c>
      <c r="E49" s="9" t="s">
        <v>263</v>
      </c>
      <c r="F49" s="70" t="s">
        <v>386</v>
      </c>
      <c r="G49" s="70"/>
      <c r="H49" s="70"/>
      <c r="I49" s="70" t="s">
        <v>386</v>
      </c>
      <c r="J49" s="70"/>
      <c r="K49" s="70"/>
      <c r="L49" s="70" t="s">
        <v>386</v>
      </c>
      <c r="M49" s="70"/>
      <c r="N49" s="70"/>
      <c r="O49" s="70" t="s">
        <v>386</v>
      </c>
      <c r="P49" s="70"/>
      <c r="Q49" s="70"/>
      <c r="R49" s="70" t="s">
        <v>386</v>
      </c>
      <c r="S49" s="70"/>
      <c r="T49" s="70"/>
      <c r="U49" s="70" t="s">
        <v>386</v>
      </c>
      <c r="V49" s="70"/>
      <c r="W49" s="70"/>
      <c r="X49" s="70" t="s">
        <v>386</v>
      </c>
      <c r="Y49" s="70"/>
      <c r="Z49" s="70"/>
      <c r="AA49" s="70" t="s">
        <v>386</v>
      </c>
      <c r="AB49" s="70"/>
      <c r="AC49" s="70"/>
      <c r="AD49" s="12" t="s">
        <v>384</v>
      </c>
      <c r="AE49" s="13"/>
      <c r="AF49" s="13"/>
      <c r="AG49" s="12" t="s">
        <v>384</v>
      </c>
      <c r="AH49" s="13"/>
      <c r="AI49" s="13"/>
      <c r="AJ49" s="70" t="s">
        <v>386</v>
      </c>
      <c r="AK49" s="70"/>
      <c r="AL49" s="70"/>
      <c r="AM49" s="70" t="s">
        <v>386</v>
      </c>
      <c r="AN49" s="70"/>
      <c r="AO49" s="70"/>
    </row>
    <row r="50" spans="1:41" ht="25.05" customHeight="1" x14ac:dyDescent="0.3">
      <c r="A50" s="5">
        <v>45</v>
      </c>
      <c r="B50" s="5" t="s">
        <v>396</v>
      </c>
      <c r="C50" s="5" t="s">
        <v>154</v>
      </c>
      <c r="D50" s="6" t="s">
        <v>268</v>
      </c>
      <c r="E50" s="5" t="s">
        <v>263</v>
      </c>
      <c r="F50" s="69" t="s">
        <v>386</v>
      </c>
      <c r="G50" s="69"/>
      <c r="H50" s="69"/>
      <c r="I50" s="69" t="s">
        <v>386</v>
      </c>
      <c r="J50" s="69"/>
      <c r="K50" s="69"/>
      <c r="L50" s="69" t="s">
        <v>386</v>
      </c>
      <c r="M50" s="69"/>
      <c r="N50" s="69"/>
      <c r="O50" s="69" t="s">
        <v>386</v>
      </c>
      <c r="P50" s="69"/>
      <c r="Q50" s="69"/>
      <c r="R50" s="69" t="s">
        <v>386</v>
      </c>
      <c r="S50" s="69"/>
      <c r="T50" s="69"/>
      <c r="U50" s="69" t="s">
        <v>386</v>
      </c>
      <c r="V50" s="69"/>
      <c r="W50" s="69"/>
      <c r="X50" s="69" t="s">
        <v>386</v>
      </c>
      <c r="Y50" s="69"/>
      <c r="Z50" s="69"/>
      <c r="AA50" s="69" t="s">
        <v>386</v>
      </c>
      <c r="AB50" s="69"/>
      <c r="AC50" s="69"/>
      <c r="AD50" s="69" t="s">
        <v>386</v>
      </c>
      <c r="AE50" s="69"/>
      <c r="AF50" s="69"/>
      <c r="AG50" s="69" t="s">
        <v>386</v>
      </c>
      <c r="AH50" s="69"/>
      <c r="AI50" s="69"/>
      <c r="AJ50" s="12" t="s">
        <v>384</v>
      </c>
      <c r="AK50" s="13"/>
      <c r="AL50" s="13"/>
      <c r="AM50" s="12" t="s">
        <v>384</v>
      </c>
      <c r="AN50" s="13"/>
      <c r="AO50" s="13"/>
    </row>
    <row r="51" spans="1:41" ht="25.05" customHeight="1" x14ac:dyDescent="0.3">
      <c r="A51" s="9">
        <v>46</v>
      </c>
      <c r="B51" s="9" t="s">
        <v>397</v>
      </c>
      <c r="C51" s="9" t="s">
        <v>142</v>
      </c>
      <c r="D51" s="10" t="s">
        <v>273</v>
      </c>
      <c r="E51" s="9" t="s">
        <v>275</v>
      </c>
      <c r="F51" s="12" t="s">
        <v>384</v>
      </c>
      <c r="G51" s="13"/>
      <c r="H51" s="13"/>
      <c r="I51" s="12" t="s">
        <v>384</v>
      </c>
      <c r="J51" s="13"/>
      <c r="K51" s="13"/>
      <c r="L51" s="70" t="s">
        <v>386</v>
      </c>
      <c r="M51" s="70"/>
      <c r="N51" s="70"/>
      <c r="O51" s="70" t="s">
        <v>386</v>
      </c>
      <c r="P51" s="70"/>
      <c r="Q51" s="70"/>
      <c r="R51" s="70" t="s">
        <v>386</v>
      </c>
      <c r="S51" s="70"/>
      <c r="T51" s="70"/>
      <c r="U51" s="70" t="s">
        <v>386</v>
      </c>
      <c r="V51" s="70"/>
      <c r="W51" s="70"/>
      <c r="X51" s="70" t="s">
        <v>386</v>
      </c>
      <c r="Y51" s="70"/>
      <c r="Z51" s="70"/>
      <c r="AA51" s="70" t="s">
        <v>386</v>
      </c>
      <c r="AB51" s="70"/>
      <c r="AC51" s="70"/>
      <c r="AD51" s="70" t="s">
        <v>386</v>
      </c>
      <c r="AE51" s="70"/>
      <c r="AF51" s="70"/>
      <c r="AG51" s="70" t="s">
        <v>386</v>
      </c>
      <c r="AH51" s="70"/>
      <c r="AI51" s="70"/>
      <c r="AJ51" s="70" t="s">
        <v>386</v>
      </c>
      <c r="AK51" s="70"/>
      <c r="AL51" s="70"/>
      <c r="AM51" s="70" t="s">
        <v>386</v>
      </c>
      <c r="AN51" s="70"/>
      <c r="AO51" s="70"/>
    </row>
    <row r="52" spans="1:41" ht="25.05" customHeight="1" x14ac:dyDescent="0.3">
      <c r="A52" s="5">
        <v>47</v>
      </c>
      <c r="B52" s="5" t="s">
        <v>397</v>
      </c>
      <c r="C52" s="5" t="s">
        <v>147</v>
      </c>
      <c r="D52" s="6" t="s">
        <v>276</v>
      </c>
      <c r="E52" s="5" t="s">
        <v>176</v>
      </c>
      <c r="F52" s="69" t="s">
        <v>386</v>
      </c>
      <c r="G52" s="69"/>
      <c r="H52" s="69"/>
      <c r="I52" s="69" t="s">
        <v>386</v>
      </c>
      <c r="J52" s="69"/>
      <c r="K52" s="69"/>
      <c r="L52" s="12" t="s">
        <v>384</v>
      </c>
      <c r="M52" s="13"/>
      <c r="N52" s="13"/>
      <c r="O52" s="12" t="s">
        <v>384</v>
      </c>
      <c r="P52" s="13"/>
      <c r="Q52" s="13"/>
      <c r="R52" s="12" t="s">
        <v>384</v>
      </c>
      <c r="S52" s="13"/>
      <c r="T52" s="13"/>
      <c r="U52" s="69" t="s">
        <v>386</v>
      </c>
      <c r="V52" s="69"/>
      <c r="W52" s="69"/>
      <c r="X52" s="69" t="s">
        <v>386</v>
      </c>
      <c r="Y52" s="69"/>
      <c r="Z52" s="69"/>
      <c r="AA52" s="69" t="s">
        <v>386</v>
      </c>
      <c r="AB52" s="69"/>
      <c r="AC52" s="69"/>
      <c r="AD52" s="69" t="s">
        <v>386</v>
      </c>
      <c r="AE52" s="69"/>
      <c r="AF52" s="69"/>
      <c r="AG52" s="69" t="s">
        <v>386</v>
      </c>
      <c r="AH52" s="69"/>
      <c r="AI52" s="69"/>
      <c r="AJ52" s="69" t="s">
        <v>386</v>
      </c>
      <c r="AK52" s="69"/>
      <c r="AL52" s="69"/>
      <c r="AM52" s="69" t="s">
        <v>386</v>
      </c>
      <c r="AN52" s="69"/>
      <c r="AO52" s="69"/>
    </row>
    <row r="53" spans="1:41" ht="25.05" customHeight="1" x14ac:dyDescent="0.3">
      <c r="A53" s="9">
        <v>48</v>
      </c>
      <c r="B53" s="9" t="s">
        <v>397</v>
      </c>
      <c r="C53" s="9" t="s">
        <v>151</v>
      </c>
      <c r="D53" s="10" t="s">
        <v>278</v>
      </c>
      <c r="E53" s="9" t="s">
        <v>145</v>
      </c>
      <c r="F53" s="70" t="s">
        <v>386</v>
      </c>
      <c r="G53" s="70"/>
      <c r="H53" s="70"/>
      <c r="I53" s="70" t="s">
        <v>386</v>
      </c>
      <c r="J53" s="70"/>
      <c r="K53" s="70"/>
      <c r="L53" s="12" t="s">
        <v>384</v>
      </c>
      <c r="M53" s="13"/>
      <c r="N53" s="13"/>
      <c r="O53" s="12" t="s">
        <v>384</v>
      </c>
      <c r="P53" s="13"/>
      <c r="Q53" s="13"/>
      <c r="R53" s="12" t="s">
        <v>384</v>
      </c>
      <c r="S53" s="13"/>
      <c r="T53" s="13"/>
      <c r="U53" s="70" t="s">
        <v>386</v>
      </c>
      <c r="V53" s="70"/>
      <c r="W53" s="70"/>
      <c r="X53" s="70" t="s">
        <v>386</v>
      </c>
      <c r="Y53" s="70"/>
      <c r="Z53" s="70"/>
      <c r="AA53" s="70" t="s">
        <v>386</v>
      </c>
      <c r="AB53" s="70"/>
      <c r="AC53" s="70"/>
      <c r="AD53" s="70" t="s">
        <v>386</v>
      </c>
      <c r="AE53" s="70"/>
      <c r="AF53" s="70"/>
      <c r="AG53" s="70" t="s">
        <v>386</v>
      </c>
      <c r="AH53" s="70"/>
      <c r="AI53" s="70"/>
      <c r="AJ53" s="70" t="s">
        <v>386</v>
      </c>
      <c r="AK53" s="70"/>
      <c r="AL53" s="70"/>
      <c r="AM53" s="70" t="s">
        <v>386</v>
      </c>
      <c r="AN53" s="70"/>
      <c r="AO53" s="70"/>
    </row>
    <row r="54" spans="1:41" ht="25.05" customHeight="1" x14ac:dyDescent="0.3">
      <c r="A54" s="5">
        <v>49</v>
      </c>
      <c r="B54" s="5" t="s">
        <v>397</v>
      </c>
      <c r="C54" s="5" t="s">
        <v>154</v>
      </c>
      <c r="D54" s="6" t="s">
        <v>280</v>
      </c>
      <c r="E54" s="5" t="s">
        <v>176</v>
      </c>
      <c r="F54" s="69" t="s">
        <v>386</v>
      </c>
      <c r="G54" s="69"/>
      <c r="H54" s="69"/>
      <c r="I54" s="69" t="s">
        <v>386</v>
      </c>
      <c r="J54" s="69"/>
      <c r="K54" s="69"/>
      <c r="L54" s="69" t="s">
        <v>386</v>
      </c>
      <c r="M54" s="69"/>
      <c r="N54" s="69"/>
      <c r="O54" s="69" t="s">
        <v>386</v>
      </c>
      <c r="P54" s="69"/>
      <c r="Q54" s="69"/>
      <c r="R54" s="12" t="s">
        <v>384</v>
      </c>
      <c r="S54" s="13"/>
      <c r="T54" s="13"/>
      <c r="U54" s="69" t="s">
        <v>386</v>
      </c>
      <c r="V54" s="69"/>
      <c r="W54" s="69"/>
      <c r="X54" s="69" t="s">
        <v>386</v>
      </c>
      <c r="Y54" s="69"/>
      <c r="Z54" s="69"/>
      <c r="AA54" s="69" t="s">
        <v>386</v>
      </c>
      <c r="AB54" s="69"/>
      <c r="AC54" s="69"/>
      <c r="AD54" s="69" t="s">
        <v>386</v>
      </c>
      <c r="AE54" s="69"/>
      <c r="AF54" s="69"/>
      <c r="AG54" s="69" t="s">
        <v>386</v>
      </c>
      <c r="AH54" s="69"/>
      <c r="AI54" s="69"/>
      <c r="AJ54" s="69" t="s">
        <v>386</v>
      </c>
      <c r="AK54" s="69"/>
      <c r="AL54" s="69"/>
      <c r="AM54" s="69" t="s">
        <v>386</v>
      </c>
      <c r="AN54" s="69"/>
      <c r="AO54" s="69"/>
    </row>
    <row r="55" spans="1:41" ht="25.05" customHeight="1" x14ac:dyDescent="0.3">
      <c r="A55" s="9">
        <v>50</v>
      </c>
      <c r="B55" s="9" t="s">
        <v>397</v>
      </c>
      <c r="C55" s="9" t="s">
        <v>167</v>
      </c>
      <c r="D55" s="10" t="s">
        <v>282</v>
      </c>
      <c r="E55" s="9" t="s">
        <v>275</v>
      </c>
      <c r="F55" s="70" t="s">
        <v>386</v>
      </c>
      <c r="G55" s="70"/>
      <c r="H55" s="70"/>
      <c r="I55" s="70" t="s">
        <v>386</v>
      </c>
      <c r="J55" s="70"/>
      <c r="K55" s="70"/>
      <c r="L55" s="70" t="s">
        <v>386</v>
      </c>
      <c r="M55" s="70"/>
      <c r="N55" s="70"/>
      <c r="O55" s="70" t="s">
        <v>386</v>
      </c>
      <c r="P55" s="70"/>
      <c r="Q55" s="70"/>
      <c r="R55" s="12" t="s">
        <v>384</v>
      </c>
      <c r="S55" s="13"/>
      <c r="T55" s="13"/>
      <c r="U55" s="12" t="s">
        <v>384</v>
      </c>
      <c r="V55" s="13"/>
      <c r="W55" s="13"/>
      <c r="X55" s="12" t="s">
        <v>384</v>
      </c>
      <c r="Y55" s="13"/>
      <c r="Z55" s="13"/>
      <c r="AA55" s="12" t="s">
        <v>384</v>
      </c>
      <c r="AB55" s="13"/>
      <c r="AC55" s="13"/>
      <c r="AD55" s="12" t="s">
        <v>384</v>
      </c>
      <c r="AE55" s="13"/>
      <c r="AF55" s="13"/>
      <c r="AG55" s="12" t="s">
        <v>384</v>
      </c>
      <c r="AH55" s="13"/>
      <c r="AI55" s="13"/>
      <c r="AJ55" s="12" t="s">
        <v>384</v>
      </c>
      <c r="AK55" s="13"/>
      <c r="AL55" s="13"/>
      <c r="AM55" s="12" t="s">
        <v>384</v>
      </c>
      <c r="AN55" s="13"/>
      <c r="AO55" s="13"/>
    </row>
    <row r="56" spans="1:41" ht="25.05" customHeight="1" x14ac:dyDescent="0.3">
      <c r="A56" s="5">
        <v>51</v>
      </c>
      <c r="B56" s="5" t="s">
        <v>398</v>
      </c>
      <c r="C56" s="5" t="s">
        <v>142</v>
      </c>
      <c r="D56" s="6" t="s">
        <v>287</v>
      </c>
      <c r="E56" s="5" t="s">
        <v>289</v>
      </c>
      <c r="F56" s="69" t="s">
        <v>386</v>
      </c>
      <c r="G56" s="69"/>
      <c r="H56" s="69"/>
      <c r="I56" s="69" t="s">
        <v>386</v>
      </c>
      <c r="J56" s="69"/>
      <c r="K56" s="69"/>
      <c r="L56" s="12" t="s">
        <v>384</v>
      </c>
      <c r="M56" s="13"/>
      <c r="N56" s="13"/>
      <c r="O56" s="69" t="s">
        <v>386</v>
      </c>
      <c r="P56" s="69"/>
      <c r="Q56" s="69"/>
      <c r="R56" s="69" t="s">
        <v>386</v>
      </c>
      <c r="S56" s="69"/>
      <c r="T56" s="69"/>
      <c r="U56" s="69" t="s">
        <v>386</v>
      </c>
      <c r="V56" s="69"/>
      <c r="W56" s="69"/>
      <c r="X56" s="69" t="s">
        <v>386</v>
      </c>
      <c r="Y56" s="69"/>
      <c r="Z56" s="69"/>
      <c r="AA56" s="69" t="s">
        <v>386</v>
      </c>
      <c r="AB56" s="69"/>
      <c r="AC56" s="69"/>
      <c r="AD56" s="69" t="s">
        <v>386</v>
      </c>
      <c r="AE56" s="69"/>
      <c r="AF56" s="69"/>
      <c r="AG56" s="69" t="s">
        <v>386</v>
      </c>
      <c r="AH56" s="69"/>
      <c r="AI56" s="69"/>
      <c r="AJ56" s="69" t="s">
        <v>386</v>
      </c>
      <c r="AK56" s="69"/>
      <c r="AL56" s="69"/>
      <c r="AM56" s="69" t="s">
        <v>386</v>
      </c>
      <c r="AN56" s="69"/>
      <c r="AO56" s="69"/>
    </row>
    <row r="57" spans="1:41" ht="25.05" customHeight="1" x14ac:dyDescent="0.3">
      <c r="A57" s="9">
        <v>52</v>
      </c>
      <c r="B57" s="9" t="s">
        <v>398</v>
      </c>
      <c r="C57" s="9" t="s">
        <v>147</v>
      </c>
      <c r="D57" s="10" t="s">
        <v>290</v>
      </c>
      <c r="E57" s="9" t="s">
        <v>292</v>
      </c>
      <c r="F57" s="70" t="s">
        <v>386</v>
      </c>
      <c r="G57" s="70"/>
      <c r="H57" s="70"/>
      <c r="I57" s="70" t="s">
        <v>386</v>
      </c>
      <c r="J57" s="70"/>
      <c r="K57" s="70"/>
      <c r="L57" s="12" t="s">
        <v>384</v>
      </c>
      <c r="M57" s="13"/>
      <c r="N57" s="13"/>
      <c r="O57" s="12" t="s">
        <v>384</v>
      </c>
      <c r="P57" s="13"/>
      <c r="Q57" s="13"/>
      <c r="R57" s="70" t="s">
        <v>386</v>
      </c>
      <c r="S57" s="70"/>
      <c r="T57" s="70"/>
      <c r="U57" s="70" t="s">
        <v>386</v>
      </c>
      <c r="V57" s="70"/>
      <c r="W57" s="70"/>
      <c r="X57" s="70" t="s">
        <v>386</v>
      </c>
      <c r="Y57" s="70"/>
      <c r="Z57" s="70"/>
      <c r="AA57" s="70" t="s">
        <v>386</v>
      </c>
      <c r="AB57" s="70"/>
      <c r="AC57" s="70"/>
      <c r="AD57" s="70" t="s">
        <v>386</v>
      </c>
      <c r="AE57" s="70"/>
      <c r="AF57" s="70"/>
      <c r="AG57" s="70" t="s">
        <v>386</v>
      </c>
      <c r="AH57" s="70"/>
      <c r="AI57" s="70"/>
      <c r="AJ57" s="70" t="s">
        <v>386</v>
      </c>
      <c r="AK57" s="70"/>
      <c r="AL57" s="70"/>
      <c r="AM57" s="70" t="s">
        <v>386</v>
      </c>
      <c r="AN57" s="70"/>
      <c r="AO57" s="70"/>
    </row>
    <row r="58" spans="1:41" ht="25.05" customHeight="1" x14ac:dyDescent="0.3">
      <c r="A58" s="5">
        <v>53</v>
      </c>
      <c r="B58" s="5" t="s">
        <v>398</v>
      </c>
      <c r="C58" s="5" t="s">
        <v>151</v>
      </c>
      <c r="D58" s="6" t="s">
        <v>293</v>
      </c>
      <c r="E58" s="5" t="s">
        <v>292</v>
      </c>
      <c r="F58" s="69" t="s">
        <v>386</v>
      </c>
      <c r="G58" s="69"/>
      <c r="H58" s="69"/>
      <c r="I58" s="69" t="s">
        <v>386</v>
      </c>
      <c r="J58" s="69"/>
      <c r="K58" s="69"/>
      <c r="L58" s="69" t="s">
        <v>386</v>
      </c>
      <c r="M58" s="69"/>
      <c r="N58" s="69"/>
      <c r="O58" s="12" t="s">
        <v>384</v>
      </c>
      <c r="P58" s="13"/>
      <c r="Q58" s="13"/>
      <c r="R58" s="12" t="s">
        <v>384</v>
      </c>
      <c r="S58" s="13"/>
      <c r="T58" s="13"/>
      <c r="U58" s="12" t="s">
        <v>384</v>
      </c>
      <c r="V58" s="13"/>
      <c r="W58" s="13"/>
      <c r="X58" s="12" t="s">
        <v>384</v>
      </c>
      <c r="Y58" s="13"/>
      <c r="Z58" s="13"/>
      <c r="AA58" s="12" t="s">
        <v>384</v>
      </c>
      <c r="AB58" s="13"/>
      <c r="AC58" s="13"/>
      <c r="AD58" s="12" t="s">
        <v>384</v>
      </c>
      <c r="AE58" s="13"/>
      <c r="AF58" s="13"/>
      <c r="AG58" s="12" t="s">
        <v>384</v>
      </c>
      <c r="AH58" s="13"/>
      <c r="AI58" s="13"/>
      <c r="AJ58" s="12" t="s">
        <v>384</v>
      </c>
      <c r="AK58" s="13"/>
      <c r="AL58" s="13"/>
      <c r="AM58" s="12" t="s">
        <v>384</v>
      </c>
      <c r="AN58" s="13"/>
      <c r="AO58" s="13"/>
    </row>
    <row r="59" spans="1:41" ht="25.05" customHeight="1" x14ac:dyDescent="0.3">
      <c r="A59" s="9">
        <v>54</v>
      </c>
      <c r="B59" s="9" t="s">
        <v>398</v>
      </c>
      <c r="C59" s="9" t="s">
        <v>154</v>
      </c>
      <c r="D59" s="10" t="s">
        <v>282</v>
      </c>
      <c r="E59" s="9" t="s">
        <v>292</v>
      </c>
      <c r="F59" s="70" t="s">
        <v>386</v>
      </c>
      <c r="G59" s="70"/>
      <c r="H59" s="70"/>
      <c r="I59" s="70" t="s">
        <v>386</v>
      </c>
      <c r="J59" s="70"/>
      <c r="K59" s="70"/>
      <c r="L59" s="70" t="s">
        <v>386</v>
      </c>
      <c r="M59" s="70"/>
      <c r="N59" s="70"/>
      <c r="O59" s="70" t="s">
        <v>386</v>
      </c>
      <c r="P59" s="70"/>
      <c r="Q59" s="70"/>
      <c r="R59" s="12" t="s">
        <v>384</v>
      </c>
      <c r="S59" s="13"/>
      <c r="T59" s="13"/>
      <c r="U59" s="12" t="s">
        <v>384</v>
      </c>
      <c r="V59" s="13"/>
      <c r="W59" s="13"/>
      <c r="X59" s="12" t="s">
        <v>384</v>
      </c>
      <c r="Y59" s="13"/>
      <c r="Z59" s="13"/>
      <c r="AA59" s="12" t="s">
        <v>384</v>
      </c>
      <c r="AB59" s="13"/>
      <c r="AC59" s="13"/>
      <c r="AD59" s="12" t="s">
        <v>384</v>
      </c>
      <c r="AE59" s="13"/>
      <c r="AF59" s="13"/>
      <c r="AG59" s="12" t="s">
        <v>384</v>
      </c>
      <c r="AH59" s="13"/>
      <c r="AI59" s="13"/>
      <c r="AJ59" s="12" t="s">
        <v>384</v>
      </c>
      <c r="AK59" s="13"/>
      <c r="AL59" s="13"/>
      <c r="AM59" s="12" t="s">
        <v>384</v>
      </c>
      <c r="AN59" s="13"/>
      <c r="AO59" s="13"/>
    </row>
    <row r="60" spans="1:41" ht="25.05" customHeight="1" x14ac:dyDescent="0.3">
      <c r="A60" s="5">
        <v>55</v>
      </c>
      <c r="B60" s="5" t="s">
        <v>399</v>
      </c>
      <c r="C60" s="5" t="s">
        <v>142</v>
      </c>
      <c r="D60" s="6" t="s">
        <v>298</v>
      </c>
      <c r="E60" s="5" t="s">
        <v>300</v>
      </c>
      <c r="F60" s="69" t="s">
        <v>386</v>
      </c>
      <c r="G60" s="69"/>
      <c r="H60" s="69"/>
      <c r="I60" s="69" t="s">
        <v>386</v>
      </c>
      <c r="J60" s="69"/>
      <c r="K60" s="69"/>
      <c r="L60" s="12" t="s">
        <v>384</v>
      </c>
      <c r="M60" s="13"/>
      <c r="N60" s="13"/>
      <c r="O60" s="69" t="s">
        <v>386</v>
      </c>
      <c r="P60" s="69"/>
      <c r="Q60" s="69"/>
      <c r="R60" s="69" t="s">
        <v>386</v>
      </c>
      <c r="S60" s="69"/>
      <c r="T60" s="69"/>
      <c r="U60" s="69" t="s">
        <v>386</v>
      </c>
      <c r="V60" s="69"/>
      <c r="W60" s="69"/>
      <c r="X60" s="69" t="s">
        <v>386</v>
      </c>
      <c r="Y60" s="69"/>
      <c r="Z60" s="69"/>
      <c r="AA60" s="69" t="s">
        <v>386</v>
      </c>
      <c r="AB60" s="69"/>
      <c r="AC60" s="69"/>
      <c r="AD60" s="69" t="s">
        <v>386</v>
      </c>
      <c r="AE60" s="69"/>
      <c r="AF60" s="69"/>
      <c r="AG60" s="69" t="s">
        <v>386</v>
      </c>
      <c r="AH60" s="69"/>
      <c r="AI60" s="69"/>
      <c r="AJ60" s="69" t="s">
        <v>386</v>
      </c>
      <c r="AK60" s="69"/>
      <c r="AL60" s="69"/>
      <c r="AM60" s="69" t="s">
        <v>386</v>
      </c>
      <c r="AN60" s="69"/>
      <c r="AO60" s="69"/>
    </row>
    <row r="61" spans="1:41" ht="25.05" customHeight="1" x14ac:dyDescent="0.3">
      <c r="A61" s="9">
        <v>56</v>
      </c>
      <c r="B61" s="9" t="s">
        <v>399</v>
      </c>
      <c r="C61" s="9" t="s">
        <v>147</v>
      </c>
      <c r="D61" s="10" t="s">
        <v>301</v>
      </c>
      <c r="E61" s="9" t="s">
        <v>303</v>
      </c>
      <c r="F61" s="70" t="s">
        <v>386</v>
      </c>
      <c r="G61" s="70"/>
      <c r="H61" s="70"/>
      <c r="I61" s="70" t="s">
        <v>386</v>
      </c>
      <c r="J61" s="70"/>
      <c r="K61" s="70"/>
      <c r="L61" s="12" t="s">
        <v>384</v>
      </c>
      <c r="M61" s="13"/>
      <c r="N61" s="13"/>
      <c r="O61" s="12" t="s">
        <v>384</v>
      </c>
      <c r="P61" s="13"/>
      <c r="Q61" s="13"/>
      <c r="R61" s="70" t="s">
        <v>386</v>
      </c>
      <c r="S61" s="70"/>
      <c r="T61" s="70"/>
      <c r="U61" s="70" t="s">
        <v>386</v>
      </c>
      <c r="V61" s="70"/>
      <c r="W61" s="70"/>
      <c r="X61" s="70" t="s">
        <v>386</v>
      </c>
      <c r="Y61" s="70"/>
      <c r="Z61" s="70"/>
      <c r="AA61" s="70" t="s">
        <v>386</v>
      </c>
      <c r="AB61" s="70"/>
      <c r="AC61" s="70"/>
      <c r="AD61" s="70" t="s">
        <v>386</v>
      </c>
      <c r="AE61" s="70"/>
      <c r="AF61" s="70"/>
      <c r="AG61" s="70" t="s">
        <v>386</v>
      </c>
      <c r="AH61" s="70"/>
      <c r="AI61" s="70"/>
      <c r="AJ61" s="70" t="s">
        <v>386</v>
      </c>
      <c r="AK61" s="70"/>
      <c r="AL61" s="70"/>
      <c r="AM61" s="70" t="s">
        <v>386</v>
      </c>
      <c r="AN61" s="70"/>
      <c r="AO61" s="70"/>
    </row>
    <row r="62" spans="1:41" ht="25.05" customHeight="1" x14ac:dyDescent="0.3">
      <c r="A62" s="5">
        <v>57</v>
      </c>
      <c r="B62" s="5" t="s">
        <v>399</v>
      </c>
      <c r="C62" s="5" t="s">
        <v>151</v>
      </c>
      <c r="D62" s="6" t="s">
        <v>304</v>
      </c>
      <c r="E62" s="5" t="s">
        <v>292</v>
      </c>
      <c r="F62" s="69" t="s">
        <v>386</v>
      </c>
      <c r="G62" s="69"/>
      <c r="H62" s="69"/>
      <c r="I62" s="69" t="s">
        <v>386</v>
      </c>
      <c r="J62" s="69"/>
      <c r="K62" s="69"/>
      <c r="L62" s="69" t="s">
        <v>386</v>
      </c>
      <c r="M62" s="69"/>
      <c r="N62" s="69"/>
      <c r="O62" s="12" t="s">
        <v>384</v>
      </c>
      <c r="P62" s="13"/>
      <c r="Q62" s="13"/>
      <c r="R62" s="12" t="s">
        <v>384</v>
      </c>
      <c r="S62" s="13"/>
      <c r="T62" s="13"/>
      <c r="U62" s="12" t="s">
        <v>384</v>
      </c>
      <c r="V62" s="13"/>
      <c r="W62" s="13"/>
      <c r="X62" s="12" t="s">
        <v>384</v>
      </c>
      <c r="Y62" s="13"/>
      <c r="Z62" s="13"/>
      <c r="AA62" s="12" t="s">
        <v>384</v>
      </c>
      <c r="AB62" s="13"/>
      <c r="AC62" s="13"/>
      <c r="AD62" s="12" t="s">
        <v>384</v>
      </c>
      <c r="AE62" s="13"/>
      <c r="AF62" s="13"/>
      <c r="AG62" s="12" t="s">
        <v>384</v>
      </c>
      <c r="AH62" s="13"/>
      <c r="AI62" s="13"/>
      <c r="AJ62" s="12" t="s">
        <v>384</v>
      </c>
      <c r="AK62" s="13"/>
      <c r="AL62" s="13"/>
      <c r="AM62" s="12" t="s">
        <v>384</v>
      </c>
      <c r="AN62" s="13"/>
      <c r="AO62" s="13"/>
    </row>
    <row r="63" spans="1:41" ht="25.05" customHeight="1" x14ac:dyDescent="0.3">
      <c r="A63" s="9">
        <v>58</v>
      </c>
      <c r="B63" s="9" t="s">
        <v>399</v>
      </c>
      <c r="C63" s="9" t="s">
        <v>154</v>
      </c>
      <c r="D63" s="10" t="s">
        <v>306</v>
      </c>
      <c r="E63" s="9" t="s">
        <v>145</v>
      </c>
      <c r="F63" s="70" t="s">
        <v>386</v>
      </c>
      <c r="G63" s="70"/>
      <c r="H63" s="70"/>
      <c r="I63" s="70" t="s">
        <v>386</v>
      </c>
      <c r="J63" s="70"/>
      <c r="K63" s="70"/>
      <c r="L63" s="70" t="s">
        <v>386</v>
      </c>
      <c r="M63" s="70"/>
      <c r="N63" s="70"/>
      <c r="O63" s="70" t="s">
        <v>386</v>
      </c>
      <c r="P63" s="70"/>
      <c r="Q63" s="70"/>
      <c r="R63" s="12" t="s">
        <v>384</v>
      </c>
      <c r="S63" s="13"/>
      <c r="T63" s="13"/>
      <c r="U63" s="12" t="s">
        <v>384</v>
      </c>
      <c r="V63" s="13"/>
      <c r="W63" s="13"/>
      <c r="X63" s="12" t="s">
        <v>384</v>
      </c>
      <c r="Y63" s="13"/>
      <c r="Z63" s="13"/>
      <c r="AA63" s="12" t="s">
        <v>384</v>
      </c>
      <c r="AB63" s="13"/>
      <c r="AC63" s="13"/>
      <c r="AD63" s="12" t="s">
        <v>384</v>
      </c>
      <c r="AE63" s="13"/>
      <c r="AF63" s="13"/>
      <c r="AG63" s="12" t="s">
        <v>384</v>
      </c>
      <c r="AH63" s="13"/>
      <c r="AI63" s="13"/>
      <c r="AJ63" s="12" t="s">
        <v>384</v>
      </c>
      <c r="AK63" s="13"/>
      <c r="AL63" s="13"/>
      <c r="AM63" s="12" t="s">
        <v>384</v>
      </c>
      <c r="AN63" s="13"/>
      <c r="AO63" s="13"/>
    </row>
    <row r="64" spans="1:41" ht="25.05" customHeight="1" x14ac:dyDescent="0.3">
      <c r="A64" s="5">
        <v>59</v>
      </c>
      <c r="B64" s="5" t="s">
        <v>400</v>
      </c>
      <c r="C64" s="5" t="s">
        <v>142</v>
      </c>
      <c r="D64" s="6" t="s">
        <v>310</v>
      </c>
      <c r="E64" s="5" t="s">
        <v>300</v>
      </c>
      <c r="F64" s="69" t="s">
        <v>386</v>
      </c>
      <c r="G64" s="69"/>
      <c r="H64" s="69"/>
      <c r="I64" s="69" t="s">
        <v>386</v>
      </c>
      <c r="J64" s="69"/>
      <c r="K64" s="69"/>
      <c r="L64" s="12" t="s">
        <v>384</v>
      </c>
      <c r="M64" s="13"/>
      <c r="N64" s="13"/>
      <c r="O64" s="69" t="s">
        <v>386</v>
      </c>
      <c r="P64" s="69"/>
      <c r="Q64" s="69"/>
      <c r="R64" s="69" t="s">
        <v>386</v>
      </c>
      <c r="S64" s="69"/>
      <c r="T64" s="69"/>
      <c r="U64" s="69" t="s">
        <v>386</v>
      </c>
      <c r="V64" s="69"/>
      <c r="W64" s="69"/>
      <c r="X64" s="69" t="s">
        <v>386</v>
      </c>
      <c r="Y64" s="69"/>
      <c r="Z64" s="69"/>
      <c r="AA64" s="69" t="s">
        <v>386</v>
      </c>
      <c r="AB64" s="69"/>
      <c r="AC64" s="69"/>
      <c r="AD64" s="69" t="s">
        <v>386</v>
      </c>
      <c r="AE64" s="69"/>
      <c r="AF64" s="69"/>
      <c r="AG64" s="69" t="s">
        <v>386</v>
      </c>
      <c r="AH64" s="69"/>
      <c r="AI64" s="69"/>
      <c r="AJ64" s="69" t="s">
        <v>386</v>
      </c>
      <c r="AK64" s="69"/>
      <c r="AL64" s="69"/>
      <c r="AM64" s="69" t="s">
        <v>386</v>
      </c>
      <c r="AN64" s="69"/>
      <c r="AO64" s="69"/>
    </row>
    <row r="65" spans="1:41" ht="25.05" customHeight="1" x14ac:dyDescent="0.3">
      <c r="A65" s="9">
        <v>60</v>
      </c>
      <c r="B65" s="9" t="s">
        <v>400</v>
      </c>
      <c r="C65" s="9" t="s">
        <v>147</v>
      </c>
      <c r="D65" s="10" t="s">
        <v>312</v>
      </c>
      <c r="E65" s="9" t="s">
        <v>314</v>
      </c>
      <c r="F65" s="70" t="s">
        <v>386</v>
      </c>
      <c r="G65" s="70"/>
      <c r="H65" s="70"/>
      <c r="I65" s="70" t="s">
        <v>386</v>
      </c>
      <c r="J65" s="70"/>
      <c r="K65" s="70"/>
      <c r="L65" s="12" t="s">
        <v>384</v>
      </c>
      <c r="M65" s="13"/>
      <c r="N65" s="13"/>
      <c r="O65" s="12" t="s">
        <v>384</v>
      </c>
      <c r="P65" s="13"/>
      <c r="Q65" s="13"/>
      <c r="R65" s="12" t="s">
        <v>384</v>
      </c>
      <c r="S65" s="13"/>
      <c r="T65" s="13"/>
      <c r="U65" s="12" t="s">
        <v>384</v>
      </c>
      <c r="V65" s="13"/>
      <c r="W65" s="13"/>
      <c r="X65" s="12" t="s">
        <v>384</v>
      </c>
      <c r="Y65" s="13"/>
      <c r="Z65" s="13"/>
      <c r="AA65" s="12" t="s">
        <v>384</v>
      </c>
      <c r="AB65" s="13"/>
      <c r="AC65" s="13"/>
      <c r="AD65" s="12" t="s">
        <v>384</v>
      </c>
      <c r="AE65" s="13"/>
      <c r="AF65" s="13"/>
      <c r="AG65" s="12" t="s">
        <v>384</v>
      </c>
      <c r="AH65" s="13"/>
      <c r="AI65" s="13"/>
      <c r="AJ65" s="12" t="s">
        <v>384</v>
      </c>
      <c r="AK65" s="13"/>
      <c r="AL65" s="13"/>
      <c r="AM65" s="12" t="s">
        <v>384</v>
      </c>
      <c r="AN65" s="13"/>
      <c r="AO65" s="13"/>
    </row>
    <row r="66" spans="1:41" ht="25.05" customHeight="1" x14ac:dyDescent="0.3">
      <c r="A66" s="5">
        <v>61</v>
      </c>
      <c r="B66" s="5" t="s">
        <v>401</v>
      </c>
      <c r="C66" s="5" t="s">
        <v>142</v>
      </c>
      <c r="D66" s="6" t="s">
        <v>318</v>
      </c>
      <c r="E66" s="5" t="s">
        <v>320</v>
      </c>
      <c r="F66" s="69" t="s">
        <v>386</v>
      </c>
      <c r="G66" s="69"/>
      <c r="H66" s="69"/>
      <c r="I66" s="12" t="s">
        <v>384</v>
      </c>
      <c r="J66" s="13"/>
      <c r="K66" s="13"/>
      <c r="L66" s="69" t="s">
        <v>386</v>
      </c>
      <c r="M66" s="69"/>
      <c r="N66" s="69"/>
      <c r="O66" s="12" t="s">
        <v>384</v>
      </c>
      <c r="P66" s="13"/>
      <c r="Q66" s="13"/>
      <c r="R66" s="69" t="s">
        <v>386</v>
      </c>
      <c r="S66" s="69"/>
      <c r="T66" s="69"/>
      <c r="U66" s="69" t="s">
        <v>386</v>
      </c>
      <c r="V66" s="69"/>
      <c r="W66" s="69"/>
      <c r="X66" s="69" t="s">
        <v>386</v>
      </c>
      <c r="Y66" s="69"/>
      <c r="Z66" s="69"/>
      <c r="AA66" s="69" t="s">
        <v>386</v>
      </c>
      <c r="AB66" s="69"/>
      <c r="AC66" s="69"/>
      <c r="AD66" s="69" t="s">
        <v>386</v>
      </c>
      <c r="AE66" s="69"/>
      <c r="AF66" s="69"/>
      <c r="AG66" s="69" t="s">
        <v>386</v>
      </c>
      <c r="AH66" s="69"/>
      <c r="AI66" s="69"/>
      <c r="AJ66" s="69" t="s">
        <v>386</v>
      </c>
      <c r="AK66" s="69"/>
      <c r="AL66" s="69"/>
      <c r="AM66" s="69" t="s">
        <v>386</v>
      </c>
      <c r="AN66" s="69"/>
      <c r="AO66" s="69"/>
    </row>
    <row r="67" spans="1:41" ht="25.05" customHeight="1" x14ac:dyDescent="0.3">
      <c r="A67" s="9">
        <v>62</v>
      </c>
      <c r="B67" s="9" t="s">
        <v>401</v>
      </c>
      <c r="C67" s="9" t="s">
        <v>147</v>
      </c>
      <c r="D67" s="10" t="s">
        <v>321</v>
      </c>
      <c r="E67" s="9" t="s">
        <v>145</v>
      </c>
      <c r="F67" s="70" t="s">
        <v>386</v>
      </c>
      <c r="G67" s="70"/>
      <c r="H67" s="70"/>
      <c r="I67" s="12" t="s">
        <v>384</v>
      </c>
      <c r="J67" s="13"/>
      <c r="K67" s="13"/>
      <c r="L67" s="70" t="s">
        <v>386</v>
      </c>
      <c r="M67" s="70"/>
      <c r="N67" s="70"/>
      <c r="O67" s="12" t="s">
        <v>384</v>
      </c>
      <c r="P67" s="13"/>
      <c r="Q67" s="13"/>
      <c r="R67" s="70" t="s">
        <v>386</v>
      </c>
      <c r="S67" s="70"/>
      <c r="T67" s="70"/>
      <c r="U67" s="70" t="s">
        <v>386</v>
      </c>
      <c r="V67" s="70"/>
      <c r="W67" s="70"/>
      <c r="X67" s="70" t="s">
        <v>386</v>
      </c>
      <c r="Y67" s="70"/>
      <c r="Z67" s="70"/>
      <c r="AA67" s="70" t="s">
        <v>386</v>
      </c>
      <c r="AB67" s="70"/>
      <c r="AC67" s="70"/>
      <c r="AD67" s="70" t="s">
        <v>386</v>
      </c>
      <c r="AE67" s="70"/>
      <c r="AF67" s="70"/>
      <c r="AG67" s="70" t="s">
        <v>386</v>
      </c>
      <c r="AH67" s="70"/>
      <c r="AI67" s="70"/>
      <c r="AJ67" s="70" t="s">
        <v>386</v>
      </c>
      <c r="AK67" s="70"/>
      <c r="AL67" s="70"/>
      <c r="AM67" s="70" t="s">
        <v>386</v>
      </c>
      <c r="AN67" s="70"/>
      <c r="AO67" s="70"/>
    </row>
    <row r="68" spans="1:41" ht="25.05" customHeight="1" x14ac:dyDescent="0.3">
      <c r="A68" s="5">
        <v>63</v>
      </c>
      <c r="B68" s="5" t="s">
        <v>401</v>
      </c>
      <c r="C68" s="5" t="s">
        <v>151</v>
      </c>
      <c r="D68" s="6" t="s">
        <v>323</v>
      </c>
      <c r="E68" s="5" t="s">
        <v>145</v>
      </c>
      <c r="F68" s="69" t="s">
        <v>386</v>
      </c>
      <c r="G68" s="69"/>
      <c r="H68" s="69"/>
      <c r="I68" s="12" t="s">
        <v>384</v>
      </c>
      <c r="J68" s="13"/>
      <c r="K68" s="13"/>
      <c r="L68" s="69" t="s">
        <v>386</v>
      </c>
      <c r="M68" s="69"/>
      <c r="N68" s="69"/>
      <c r="O68" s="12" t="s">
        <v>384</v>
      </c>
      <c r="P68" s="13"/>
      <c r="Q68" s="13"/>
      <c r="R68" s="69" t="s">
        <v>386</v>
      </c>
      <c r="S68" s="69"/>
      <c r="T68" s="69"/>
      <c r="U68" s="69" t="s">
        <v>386</v>
      </c>
      <c r="V68" s="69"/>
      <c r="W68" s="69"/>
      <c r="X68" s="69" t="s">
        <v>386</v>
      </c>
      <c r="Y68" s="69"/>
      <c r="Z68" s="69"/>
      <c r="AA68" s="69" t="s">
        <v>386</v>
      </c>
      <c r="AB68" s="69"/>
      <c r="AC68" s="69"/>
      <c r="AD68" s="69" t="s">
        <v>386</v>
      </c>
      <c r="AE68" s="69"/>
      <c r="AF68" s="69"/>
      <c r="AG68" s="69" t="s">
        <v>386</v>
      </c>
      <c r="AH68" s="69"/>
      <c r="AI68" s="69"/>
      <c r="AJ68" s="69" t="s">
        <v>386</v>
      </c>
      <c r="AK68" s="69"/>
      <c r="AL68" s="69"/>
      <c r="AM68" s="69" t="s">
        <v>386</v>
      </c>
      <c r="AN68" s="69"/>
      <c r="AO68" s="69"/>
    </row>
    <row r="69" spans="1:41" ht="25.05" customHeight="1" x14ac:dyDescent="0.3">
      <c r="A69" s="9">
        <v>64</v>
      </c>
      <c r="B69" s="9" t="s">
        <v>401</v>
      </c>
      <c r="C69" s="9" t="s">
        <v>154</v>
      </c>
      <c r="D69" s="10" t="s">
        <v>325</v>
      </c>
      <c r="E69" s="9" t="s">
        <v>320</v>
      </c>
      <c r="F69" s="70" t="s">
        <v>386</v>
      </c>
      <c r="G69" s="70"/>
      <c r="H69" s="70"/>
      <c r="I69" s="12" t="s">
        <v>384</v>
      </c>
      <c r="J69" s="13"/>
      <c r="K69" s="13"/>
      <c r="L69" s="12" t="s">
        <v>384</v>
      </c>
      <c r="M69" s="13"/>
      <c r="N69" s="13"/>
      <c r="O69" s="12" t="s">
        <v>384</v>
      </c>
      <c r="P69" s="13"/>
      <c r="Q69" s="13"/>
      <c r="R69" s="12" t="s">
        <v>384</v>
      </c>
      <c r="S69" s="13"/>
      <c r="T69" s="13"/>
      <c r="U69" s="70" t="s">
        <v>386</v>
      </c>
      <c r="V69" s="70"/>
      <c r="W69" s="70"/>
      <c r="X69" s="70" t="s">
        <v>386</v>
      </c>
      <c r="Y69" s="70"/>
      <c r="Z69" s="70"/>
      <c r="AA69" s="70" t="s">
        <v>386</v>
      </c>
      <c r="AB69" s="70"/>
      <c r="AC69" s="70"/>
      <c r="AD69" s="70" t="s">
        <v>386</v>
      </c>
      <c r="AE69" s="70"/>
      <c r="AF69" s="70"/>
      <c r="AG69" s="70" t="s">
        <v>386</v>
      </c>
      <c r="AH69" s="70"/>
      <c r="AI69" s="70"/>
      <c r="AJ69" s="70" t="s">
        <v>386</v>
      </c>
      <c r="AK69" s="70"/>
      <c r="AL69" s="70"/>
      <c r="AM69" s="70" t="s">
        <v>386</v>
      </c>
      <c r="AN69" s="70"/>
      <c r="AO69" s="70"/>
    </row>
    <row r="70" spans="1:41" ht="25.05" customHeight="1" x14ac:dyDescent="0.3">
      <c r="A70" s="5">
        <v>65</v>
      </c>
      <c r="B70" s="5" t="s">
        <v>402</v>
      </c>
      <c r="C70" s="5" t="s">
        <v>142</v>
      </c>
      <c r="D70" s="6" t="s">
        <v>330</v>
      </c>
      <c r="E70" s="5" t="s">
        <v>332</v>
      </c>
      <c r="F70" s="69" t="s">
        <v>386</v>
      </c>
      <c r="G70" s="69"/>
      <c r="H70" s="69"/>
      <c r="I70" s="69" t="s">
        <v>386</v>
      </c>
      <c r="J70" s="69"/>
      <c r="K70" s="69"/>
      <c r="L70" s="12" t="s">
        <v>384</v>
      </c>
      <c r="M70" s="13"/>
      <c r="N70" s="13"/>
      <c r="O70" s="12" t="s">
        <v>384</v>
      </c>
      <c r="P70" s="13"/>
      <c r="Q70" s="13"/>
      <c r="R70" s="69" t="s">
        <v>386</v>
      </c>
      <c r="S70" s="69"/>
      <c r="T70" s="69"/>
      <c r="U70" s="69" t="s">
        <v>386</v>
      </c>
      <c r="V70" s="69"/>
      <c r="W70" s="69"/>
      <c r="X70" s="69" t="s">
        <v>386</v>
      </c>
      <c r="Y70" s="69"/>
      <c r="Z70" s="69"/>
      <c r="AA70" s="69" t="s">
        <v>386</v>
      </c>
      <c r="AB70" s="69"/>
      <c r="AC70" s="69"/>
      <c r="AD70" s="69" t="s">
        <v>386</v>
      </c>
      <c r="AE70" s="69"/>
      <c r="AF70" s="69"/>
      <c r="AG70" s="69" t="s">
        <v>386</v>
      </c>
      <c r="AH70" s="69"/>
      <c r="AI70" s="69"/>
      <c r="AJ70" s="69" t="s">
        <v>386</v>
      </c>
      <c r="AK70" s="69"/>
      <c r="AL70" s="69"/>
      <c r="AM70" s="69" t="s">
        <v>386</v>
      </c>
      <c r="AN70" s="69"/>
      <c r="AO70" s="69"/>
    </row>
    <row r="71" spans="1:41" ht="25.05" customHeight="1" x14ac:dyDescent="0.3">
      <c r="A71" s="9">
        <v>66</v>
      </c>
      <c r="B71" s="9" t="s">
        <v>402</v>
      </c>
      <c r="C71" s="9" t="s">
        <v>147</v>
      </c>
      <c r="D71" s="10" t="s">
        <v>333</v>
      </c>
      <c r="E71" s="9" t="s">
        <v>335</v>
      </c>
      <c r="F71" s="70" t="s">
        <v>386</v>
      </c>
      <c r="G71" s="70"/>
      <c r="H71" s="70"/>
      <c r="I71" s="70" t="s">
        <v>386</v>
      </c>
      <c r="J71" s="70"/>
      <c r="K71" s="70"/>
      <c r="L71" s="70" t="s">
        <v>386</v>
      </c>
      <c r="M71" s="70"/>
      <c r="N71" s="70"/>
      <c r="O71" s="12" t="s">
        <v>384</v>
      </c>
      <c r="P71" s="13"/>
      <c r="Q71" s="13"/>
      <c r="R71" s="12" t="s">
        <v>384</v>
      </c>
      <c r="S71" s="13"/>
      <c r="T71" s="13"/>
      <c r="U71" s="70" t="s">
        <v>386</v>
      </c>
      <c r="V71" s="70"/>
      <c r="W71" s="70"/>
      <c r="X71" s="70" t="s">
        <v>386</v>
      </c>
      <c r="Y71" s="70"/>
      <c r="Z71" s="70"/>
      <c r="AA71" s="70" t="s">
        <v>386</v>
      </c>
      <c r="AB71" s="70"/>
      <c r="AC71" s="70"/>
      <c r="AD71" s="70" t="s">
        <v>386</v>
      </c>
      <c r="AE71" s="70"/>
      <c r="AF71" s="70"/>
      <c r="AG71" s="70" t="s">
        <v>386</v>
      </c>
      <c r="AH71" s="70"/>
      <c r="AI71" s="70"/>
      <c r="AJ71" s="70" t="s">
        <v>386</v>
      </c>
      <c r="AK71" s="70"/>
      <c r="AL71" s="70"/>
      <c r="AM71" s="70" t="s">
        <v>386</v>
      </c>
      <c r="AN71" s="70"/>
      <c r="AO71" s="70"/>
    </row>
    <row r="72" spans="1:41" ht="25.05" customHeight="1" x14ac:dyDescent="0.3">
      <c r="A72" s="5">
        <v>67</v>
      </c>
      <c r="B72" s="5" t="s">
        <v>402</v>
      </c>
      <c r="C72" s="5" t="s">
        <v>151</v>
      </c>
      <c r="D72" s="6" t="s">
        <v>336</v>
      </c>
      <c r="E72" s="5" t="s">
        <v>275</v>
      </c>
      <c r="F72" s="69" t="s">
        <v>386</v>
      </c>
      <c r="G72" s="69"/>
      <c r="H72" s="69"/>
      <c r="I72" s="69" t="s">
        <v>386</v>
      </c>
      <c r="J72" s="69"/>
      <c r="K72" s="69"/>
      <c r="L72" s="69" t="s">
        <v>386</v>
      </c>
      <c r="M72" s="69"/>
      <c r="N72" s="69"/>
      <c r="O72" s="69" t="s">
        <v>386</v>
      </c>
      <c r="P72" s="69"/>
      <c r="Q72" s="69"/>
      <c r="R72" s="69" t="s">
        <v>386</v>
      </c>
      <c r="S72" s="69"/>
      <c r="T72" s="69"/>
      <c r="U72" s="69" t="s">
        <v>386</v>
      </c>
      <c r="V72" s="69"/>
      <c r="W72" s="69"/>
      <c r="X72" s="69" t="s">
        <v>386</v>
      </c>
      <c r="Y72" s="69"/>
      <c r="Z72" s="69"/>
      <c r="AA72" s="12" t="s">
        <v>384</v>
      </c>
      <c r="AB72" s="13"/>
      <c r="AC72" s="13"/>
      <c r="AD72" s="12" t="s">
        <v>384</v>
      </c>
      <c r="AE72" s="13"/>
      <c r="AF72" s="13"/>
      <c r="AG72" s="69" t="s">
        <v>386</v>
      </c>
      <c r="AH72" s="69"/>
      <c r="AI72" s="69"/>
      <c r="AJ72" s="69" t="s">
        <v>386</v>
      </c>
      <c r="AK72" s="69"/>
      <c r="AL72" s="69"/>
      <c r="AM72" s="69" t="s">
        <v>386</v>
      </c>
      <c r="AN72" s="69"/>
      <c r="AO72" s="69"/>
    </row>
    <row r="73" spans="1:41" ht="25.05" customHeight="1" x14ac:dyDescent="0.3">
      <c r="A73" s="9">
        <v>68</v>
      </c>
      <c r="B73" s="9" t="s">
        <v>402</v>
      </c>
      <c r="C73" s="9" t="s">
        <v>154</v>
      </c>
      <c r="D73" s="10" t="s">
        <v>282</v>
      </c>
      <c r="E73" s="9" t="s">
        <v>275</v>
      </c>
      <c r="F73" s="70" t="s">
        <v>386</v>
      </c>
      <c r="G73" s="70"/>
      <c r="H73" s="70"/>
      <c r="I73" s="70" t="s">
        <v>386</v>
      </c>
      <c r="J73" s="70"/>
      <c r="K73" s="70"/>
      <c r="L73" s="70" t="s">
        <v>386</v>
      </c>
      <c r="M73" s="70"/>
      <c r="N73" s="70"/>
      <c r="O73" s="70" t="s">
        <v>386</v>
      </c>
      <c r="P73" s="70"/>
      <c r="Q73" s="70"/>
      <c r="R73" s="70" t="s">
        <v>386</v>
      </c>
      <c r="S73" s="70"/>
      <c r="T73" s="70"/>
      <c r="U73" s="70" t="s">
        <v>386</v>
      </c>
      <c r="V73" s="70"/>
      <c r="W73" s="70"/>
      <c r="X73" s="70" t="s">
        <v>386</v>
      </c>
      <c r="Y73" s="70"/>
      <c r="Z73" s="70"/>
      <c r="AA73" s="70" t="s">
        <v>386</v>
      </c>
      <c r="AB73" s="70"/>
      <c r="AC73" s="70"/>
      <c r="AD73" s="12" t="s">
        <v>384</v>
      </c>
      <c r="AE73" s="13"/>
      <c r="AF73" s="13"/>
      <c r="AG73" s="12" t="s">
        <v>384</v>
      </c>
      <c r="AH73" s="13"/>
      <c r="AI73" s="13"/>
      <c r="AJ73" s="12" t="s">
        <v>384</v>
      </c>
      <c r="AK73" s="13"/>
      <c r="AL73" s="13"/>
      <c r="AM73" s="12" t="s">
        <v>384</v>
      </c>
      <c r="AN73" s="13"/>
      <c r="AO73" s="13"/>
    </row>
    <row r="74" spans="1:41" ht="25.05" customHeight="1" x14ac:dyDescent="0.3">
      <c r="A74" s="5">
        <v>69</v>
      </c>
      <c r="B74" s="5" t="s">
        <v>403</v>
      </c>
      <c r="C74" s="5" t="s">
        <v>142</v>
      </c>
      <c r="D74" s="6" t="s">
        <v>341</v>
      </c>
      <c r="E74" s="5" t="s">
        <v>190</v>
      </c>
      <c r="F74" s="69" t="s">
        <v>386</v>
      </c>
      <c r="G74" s="69"/>
      <c r="H74" s="69"/>
      <c r="I74" s="69" t="s">
        <v>386</v>
      </c>
      <c r="J74" s="69"/>
      <c r="K74" s="69"/>
      <c r="L74" s="69" t="s">
        <v>386</v>
      </c>
      <c r="M74" s="69"/>
      <c r="N74" s="69"/>
      <c r="O74" s="69" t="s">
        <v>386</v>
      </c>
      <c r="P74" s="69"/>
      <c r="Q74" s="69"/>
      <c r="R74" s="69" t="s">
        <v>386</v>
      </c>
      <c r="S74" s="69"/>
      <c r="T74" s="69"/>
      <c r="U74" s="69" t="s">
        <v>386</v>
      </c>
      <c r="V74" s="69"/>
      <c r="W74" s="69"/>
      <c r="X74" s="69" t="s">
        <v>386</v>
      </c>
      <c r="Y74" s="69"/>
      <c r="Z74" s="69"/>
      <c r="AA74" s="12" t="s">
        <v>384</v>
      </c>
      <c r="AB74" s="13"/>
      <c r="AC74" s="13"/>
      <c r="AD74" s="12" t="s">
        <v>384</v>
      </c>
      <c r="AE74" s="13"/>
      <c r="AF74" s="13"/>
      <c r="AG74" s="69" t="s">
        <v>386</v>
      </c>
      <c r="AH74" s="69"/>
      <c r="AI74" s="69"/>
      <c r="AJ74" s="69" t="s">
        <v>386</v>
      </c>
      <c r="AK74" s="69"/>
      <c r="AL74" s="69"/>
      <c r="AM74" s="69" t="s">
        <v>386</v>
      </c>
      <c r="AN74" s="69"/>
      <c r="AO74" s="69"/>
    </row>
    <row r="75" spans="1:41" ht="25.05" customHeight="1" x14ac:dyDescent="0.3">
      <c r="A75" s="9">
        <v>70</v>
      </c>
      <c r="B75" s="9" t="s">
        <v>403</v>
      </c>
      <c r="C75" s="9" t="s">
        <v>147</v>
      </c>
      <c r="D75" s="10" t="s">
        <v>343</v>
      </c>
      <c r="E75" s="9" t="s">
        <v>275</v>
      </c>
      <c r="F75" s="70" t="s">
        <v>386</v>
      </c>
      <c r="G75" s="70"/>
      <c r="H75" s="70"/>
      <c r="I75" s="70" t="s">
        <v>386</v>
      </c>
      <c r="J75" s="70"/>
      <c r="K75" s="70"/>
      <c r="L75" s="70" t="s">
        <v>386</v>
      </c>
      <c r="M75" s="70"/>
      <c r="N75" s="70"/>
      <c r="O75" s="70" t="s">
        <v>386</v>
      </c>
      <c r="P75" s="70"/>
      <c r="Q75" s="70"/>
      <c r="R75" s="70" t="s">
        <v>386</v>
      </c>
      <c r="S75" s="70"/>
      <c r="T75" s="70"/>
      <c r="U75" s="70" t="s">
        <v>386</v>
      </c>
      <c r="V75" s="70"/>
      <c r="W75" s="70"/>
      <c r="X75" s="70" t="s">
        <v>386</v>
      </c>
      <c r="Y75" s="70"/>
      <c r="Z75" s="70"/>
      <c r="AA75" s="70" t="s">
        <v>386</v>
      </c>
      <c r="AB75" s="70"/>
      <c r="AC75" s="70"/>
      <c r="AD75" s="12" t="s">
        <v>384</v>
      </c>
      <c r="AE75" s="13"/>
      <c r="AF75" s="13"/>
      <c r="AG75" s="12" t="s">
        <v>384</v>
      </c>
      <c r="AH75" s="13"/>
      <c r="AI75" s="13"/>
      <c r="AJ75" s="70" t="s">
        <v>386</v>
      </c>
      <c r="AK75" s="70"/>
      <c r="AL75" s="70"/>
      <c r="AM75" s="70" t="s">
        <v>386</v>
      </c>
      <c r="AN75" s="70"/>
      <c r="AO75" s="70"/>
    </row>
    <row r="76" spans="1:41" ht="25.05" customHeight="1" x14ac:dyDescent="0.3">
      <c r="A76" s="5">
        <v>71</v>
      </c>
      <c r="B76" s="5" t="s">
        <v>403</v>
      </c>
      <c r="C76" s="5" t="s">
        <v>151</v>
      </c>
      <c r="D76" s="6" t="s">
        <v>345</v>
      </c>
      <c r="E76" s="5" t="s">
        <v>275</v>
      </c>
      <c r="F76" s="69" t="s">
        <v>386</v>
      </c>
      <c r="G76" s="69"/>
      <c r="H76" s="69"/>
      <c r="I76" s="69" t="s">
        <v>386</v>
      </c>
      <c r="J76" s="69"/>
      <c r="K76" s="69"/>
      <c r="L76" s="69" t="s">
        <v>386</v>
      </c>
      <c r="M76" s="69"/>
      <c r="N76" s="69"/>
      <c r="O76" s="69" t="s">
        <v>386</v>
      </c>
      <c r="P76" s="69"/>
      <c r="Q76" s="69"/>
      <c r="R76" s="69" t="s">
        <v>386</v>
      </c>
      <c r="S76" s="69"/>
      <c r="T76" s="69"/>
      <c r="U76" s="69" t="s">
        <v>386</v>
      </c>
      <c r="V76" s="69"/>
      <c r="W76" s="69"/>
      <c r="X76" s="69" t="s">
        <v>386</v>
      </c>
      <c r="Y76" s="69"/>
      <c r="Z76" s="69"/>
      <c r="AA76" s="69" t="s">
        <v>386</v>
      </c>
      <c r="AB76" s="69"/>
      <c r="AC76" s="69"/>
      <c r="AD76" s="12" t="s">
        <v>384</v>
      </c>
      <c r="AE76" s="13"/>
      <c r="AF76" s="13"/>
      <c r="AG76" s="12" t="s">
        <v>384</v>
      </c>
      <c r="AH76" s="13"/>
      <c r="AI76" s="13"/>
      <c r="AJ76" s="69" t="s">
        <v>386</v>
      </c>
      <c r="AK76" s="69"/>
      <c r="AL76" s="69"/>
      <c r="AM76" s="69" t="s">
        <v>386</v>
      </c>
      <c r="AN76" s="69"/>
      <c r="AO76" s="69"/>
    </row>
    <row r="77" spans="1:41" ht="25.05" customHeight="1" x14ac:dyDescent="0.3">
      <c r="A77" s="9">
        <v>72</v>
      </c>
      <c r="B77" s="9" t="s">
        <v>403</v>
      </c>
      <c r="C77" s="9" t="s">
        <v>154</v>
      </c>
      <c r="D77" s="10" t="s">
        <v>347</v>
      </c>
      <c r="E77" s="9" t="s">
        <v>150</v>
      </c>
      <c r="F77" s="70" t="s">
        <v>386</v>
      </c>
      <c r="G77" s="70"/>
      <c r="H77" s="70"/>
      <c r="I77" s="70" t="s">
        <v>386</v>
      </c>
      <c r="J77" s="70"/>
      <c r="K77" s="70"/>
      <c r="L77" s="70" t="s">
        <v>386</v>
      </c>
      <c r="M77" s="70"/>
      <c r="N77" s="70"/>
      <c r="O77" s="70" t="s">
        <v>386</v>
      </c>
      <c r="P77" s="70"/>
      <c r="Q77" s="70"/>
      <c r="R77" s="70" t="s">
        <v>386</v>
      </c>
      <c r="S77" s="70"/>
      <c r="T77" s="70"/>
      <c r="U77" s="70" t="s">
        <v>386</v>
      </c>
      <c r="V77" s="70"/>
      <c r="W77" s="70"/>
      <c r="X77" s="70" t="s">
        <v>386</v>
      </c>
      <c r="Y77" s="70"/>
      <c r="Z77" s="70"/>
      <c r="AA77" s="70" t="s">
        <v>386</v>
      </c>
      <c r="AB77" s="70"/>
      <c r="AC77" s="70"/>
      <c r="AD77" s="70" t="s">
        <v>386</v>
      </c>
      <c r="AE77" s="70"/>
      <c r="AF77" s="70"/>
      <c r="AG77" s="12" t="s">
        <v>384</v>
      </c>
      <c r="AH77" s="13"/>
      <c r="AI77" s="13"/>
      <c r="AJ77" s="12" t="s">
        <v>384</v>
      </c>
      <c r="AK77" s="13"/>
      <c r="AL77" s="13"/>
      <c r="AM77" s="70" t="s">
        <v>386</v>
      </c>
      <c r="AN77" s="70"/>
      <c r="AO77" s="70"/>
    </row>
    <row r="78" spans="1:41" ht="25.05" customHeight="1" x14ac:dyDescent="0.3">
      <c r="A78" s="5">
        <v>73</v>
      </c>
      <c r="B78" s="5" t="s">
        <v>404</v>
      </c>
      <c r="C78" s="5" t="s">
        <v>142</v>
      </c>
      <c r="D78" s="6" t="s">
        <v>351</v>
      </c>
      <c r="E78" s="5" t="s">
        <v>150</v>
      </c>
      <c r="F78" s="69" t="s">
        <v>386</v>
      </c>
      <c r="G78" s="69"/>
      <c r="H78" s="69"/>
      <c r="I78" s="12" t="s">
        <v>384</v>
      </c>
      <c r="J78" s="13"/>
      <c r="K78" s="13"/>
      <c r="L78" s="69" t="s">
        <v>386</v>
      </c>
      <c r="M78" s="69"/>
      <c r="N78" s="69"/>
      <c r="O78" s="69" t="s">
        <v>386</v>
      </c>
      <c r="P78" s="69"/>
      <c r="Q78" s="69"/>
      <c r="R78" s="69" t="s">
        <v>386</v>
      </c>
      <c r="S78" s="69"/>
      <c r="T78" s="69"/>
      <c r="U78" s="69" t="s">
        <v>386</v>
      </c>
      <c r="V78" s="69"/>
      <c r="W78" s="69"/>
      <c r="X78" s="69" t="s">
        <v>386</v>
      </c>
      <c r="Y78" s="69"/>
      <c r="Z78" s="69"/>
      <c r="AA78" s="69" t="s">
        <v>386</v>
      </c>
      <c r="AB78" s="69"/>
      <c r="AC78" s="69"/>
      <c r="AD78" s="69" t="s">
        <v>386</v>
      </c>
      <c r="AE78" s="69"/>
      <c r="AF78" s="69"/>
      <c r="AG78" s="69" t="s">
        <v>386</v>
      </c>
      <c r="AH78" s="69"/>
      <c r="AI78" s="69"/>
      <c r="AJ78" s="69" t="s">
        <v>386</v>
      </c>
      <c r="AK78" s="69"/>
      <c r="AL78" s="69"/>
      <c r="AM78" s="69" t="s">
        <v>386</v>
      </c>
      <c r="AN78" s="69"/>
      <c r="AO78" s="69"/>
    </row>
    <row r="79" spans="1:41" ht="25.05" customHeight="1" x14ac:dyDescent="0.3">
      <c r="A79" s="9">
        <v>74</v>
      </c>
      <c r="B79" s="9" t="s">
        <v>404</v>
      </c>
      <c r="C79" s="9" t="s">
        <v>147</v>
      </c>
      <c r="D79" s="10" t="s">
        <v>353</v>
      </c>
      <c r="E79" s="9" t="s">
        <v>150</v>
      </c>
      <c r="F79" s="70" t="s">
        <v>386</v>
      </c>
      <c r="G79" s="70"/>
      <c r="H79" s="70"/>
      <c r="I79" s="12" t="s">
        <v>384</v>
      </c>
      <c r="J79" s="13"/>
      <c r="K79" s="13"/>
      <c r="L79" s="70" t="s">
        <v>386</v>
      </c>
      <c r="M79" s="70"/>
      <c r="N79" s="70"/>
      <c r="O79" s="70" t="s">
        <v>386</v>
      </c>
      <c r="P79" s="70"/>
      <c r="Q79" s="70"/>
      <c r="R79" s="70" t="s">
        <v>386</v>
      </c>
      <c r="S79" s="70"/>
      <c r="T79" s="70"/>
      <c r="U79" s="70" t="s">
        <v>386</v>
      </c>
      <c r="V79" s="70"/>
      <c r="W79" s="70"/>
      <c r="X79" s="70" t="s">
        <v>386</v>
      </c>
      <c r="Y79" s="70"/>
      <c r="Z79" s="70"/>
      <c r="AA79" s="70" t="s">
        <v>386</v>
      </c>
      <c r="AB79" s="70"/>
      <c r="AC79" s="70"/>
      <c r="AD79" s="70" t="s">
        <v>386</v>
      </c>
      <c r="AE79" s="70"/>
      <c r="AF79" s="70"/>
      <c r="AG79" s="70" t="s">
        <v>386</v>
      </c>
      <c r="AH79" s="70"/>
      <c r="AI79" s="70"/>
      <c r="AJ79" s="70" t="s">
        <v>386</v>
      </c>
      <c r="AK79" s="70"/>
      <c r="AL79" s="70"/>
      <c r="AM79" s="70" t="s">
        <v>386</v>
      </c>
      <c r="AN79" s="70"/>
      <c r="AO79" s="70"/>
    </row>
    <row r="80" spans="1:41" ht="25.05" customHeight="1" x14ac:dyDescent="0.3">
      <c r="A80" s="5">
        <v>75</v>
      </c>
      <c r="B80" s="5" t="s">
        <v>404</v>
      </c>
      <c r="C80" s="5" t="s">
        <v>151</v>
      </c>
      <c r="D80" s="6" t="s">
        <v>355</v>
      </c>
      <c r="E80" s="5" t="s">
        <v>145</v>
      </c>
      <c r="F80" s="69" t="s">
        <v>386</v>
      </c>
      <c r="G80" s="69"/>
      <c r="H80" s="69"/>
      <c r="I80" s="12" t="s">
        <v>384</v>
      </c>
      <c r="J80" s="13"/>
      <c r="K80" s="13"/>
      <c r="L80" s="69" t="s">
        <v>386</v>
      </c>
      <c r="M80" s="69"/>
      <c r="N80" s="69"/>
      <c r="O80" s="69" t="s">
        <v>386</v>
      </c>
      <c r="P80" s="69"/>
      <c r="Q80" s="69"/>
      <c r="R80" s="69" t="s">
        <v>386</v>
      </c>
      <c r="S80" s="69"/>
      <c r="T80" s="69"/>
      <c r="U80" s="69" t="s">
        <v>386</v>
      </c>
      <c r="V80" s="69"/>
      <c r="W80" s="69"/>
      <c r="X80" s="69" t="s">
        <v>386</v>
      </c>
      <c r="Y80" s="69"/>
      <c r="Z80" s="69"/>
      <c r="AA80" s="69" t="s">
        <v>386</v>
      </c>
      <c r="AB80" s="69"/>
      <c r="AC80" s="69"/>
      <c r="AD80" s="69" t="s">
        <v>386</v>
      </c>
      <c r="AE80" s="69"/>
      <c r="AF80" s="69"/>
      <c r="AG80" s="69" t="s">
        <v>386</v>
      </c>
      <c r="AH80" s="69"/>
      <c r="AI80" s="69"/>
      <c r="AJ80" s="69" t="s">
        <v>386</v>
      </c>
      <c r="AK80" s="69"/>
      <c r="AL80" s="69"/>
      <c r="AM80" s="69" t="s">
        <v>386</v>
      </c>
      <c r="AN80" s="69"/>
      <c r="AO80" s="69"/>
    </row>
    <row r="81" spans="1:41" ht="25.05" customHeight="1" x14ac:dyDescent="0.3">
      <c r="A81" s="9">
        <v>76</v>
      </c>
      <c r="B81" s="9" t="s">
        <v>404</v>
      </c>
      <c r="C81" s="9" t="s">
        <v>154</v>
      </c>
      <c r="D81" s="10" t="s">
        <v>357</v>
      </c>
      <c r="E81" s="9" t="s">
        <v>145</v>
      </c>
      <c r="F81" s="70" t="s">
        <v>386</v>
      </c>
      <c r="G81" s="70"/>
      <c r="H81" s="70"/>
      <c r="I81" s="12" t="s">
        <v>384</v>
      </c>
      <c r="J81" s="13"/>
      <c r="K81" s="13"/>
      <c r="L81" s="12" t="s">
        <v>384</v>
      </c>
      <c r="M81" s="13"/>
      <c r="N81" s="13"/>
      <c r="O81" s="12" t="s">
        <v>384</v>
      </c>
      <c r="P81" s="13"/>
      <c r="Q81" s="13"/>
      <c r="R81" s="12" t="s">
        <v>384</v>
      </c>
      <c r="S81" s="13"/>
      <c r="T81" s="13"/>
      <c r="U81" s="12" t="s">
        <v>384</v>
      </c>
      <c r="V81" s="13"/>
      <c r="W81" s="13"/>
      <c r="X81" s="12" t="s">
        <v>384</v>
      </c>
      <c r="Y81" s="13"/>
      <c r="Z81" s="13"/>
      <c r="AA81" s="12" t="s">
        <v>384</v>
      </c>
      <c r="AB81" s="13"/>
      <c r="AC81" s="13"/>
      <c r="AD81" s="12" t="s">
        <v>384</v>
      </c>
      <c r="AE81" s="13"/>
      <c r="AF81" s="13"/>
      <c r="AG81" s="12" t="s">
        <v>384</v>
      </c>
      <c r="AH81" s="13"/>
      <c r="AI81" s="13"/>
      <c r="AJ81" s="12" t="s">
        <v>384</v>
      </c>
      <c r="AK81" s="13"/>
      <c r="AL81" s="13"/>
      <c r="AM81" s="12" t="s">
        <v>384</v>
      </c>
      <c r="AN81" s="13"/>
      <c r="AO81" s="13"/>
    </row>
    <row r="82" spans="1:41" ht="25.05" customHeight="1" x14ac:dyDescent="0.3">
      <c r="A82" s="5">
        <v>77</v>
      </c>
      <c r="B82" s="5" t="s">
        <v>404</v>
      </c>
      <c r="C82" s="5" t="s">
        <v>167</v>
      </c>
      <c r="D82" s="6" t="s">
        <v>359</v>
      </c>
      <c r="E82" s="5" t="s">
        <v>145</v>
      </c>
      <c r="F82" s="69" t="s">
        <v>386</v>
      </c>
      <c r="G82" s="69"/>
      <c r="H82" s="69"/>
      <c r="I82" s="69" t="s">
        <v>386</v>
      </c>
      <c r="J82" s="69"/>
      <c r="K82" s="69"/>
      <c r="L82" s="12" t="s">
        <v>384</v>
      </c>
      <c r="M82" s="13"/>
      <c r="N82" s="13"/>
      <c r="O82" s="12" t="s">
        <v>384</v>
      </c>
      <c r="P82" s="13"/>
      <c r="Q82" s="13"/>
      <c r="R82" s="12" t="s">
        <v>384</v>
      </c>
      <c r="S82" s="13"/>
      <c r="T82" s="13"/>
      <c r="U82" s="12" t="s">
        <v>384</v>
      </c>
      <c r="V82" s="13"/>
      <c r="W82" s="13"/>
      <c r="X82" s="12" t="s">
        <v>384</v>
      </c>
      <c r="Y82" s="13"/>
      <c r="Z82" s="13"/>
      <c r="AA82" s="12" t="s">
        <v>384</v>
      </c>
      <c r="AB82" s="13"/>
      <c r="AC82" s="13"/>
      <c r="AD82" s="12" t="s">
        <v>384</v>
      </c>
      <c r="AE82" s="13"/>
      <c r="AF82" s="13"/>
      <c r="AG82" s="12" t="s">
        <v>384</v>
      </c>
      <c r="AH82" s="13"/>
      <c r="AI82" s="13"/>
      <c r="AJ82" s="12" t="s">
        <v>384</v>
      </c>
      <c r="AK82" s="13"/>
      <c r="AL82" s="13"/>
      <c r="AM82" s="12" t="s">
        <v>384</v>
      </c>
      <c r="AN82" s="13"/>
      <c r="AO82" s="13"/>
    </row>
    <row r="85" spans="1:41" ht="30" customHeight="1" x14ac:dyDescent="0.3">
      <c r="A85" s="43" t="s">
        <v>414</v>
      </c>
      <c r="B85" s="43"/>
      <c r="C85" s="43"/>
      <c r="D85" s="43"/>
      <c r="E85" s="43"/>
      <c r="F85" s="33" t="s">
        <v>18</v>
      </c>
      <c r="G85" s="33"/>
      <c r="H85" s="33"/>
      <c r="I85" s="33" t="s">
        <v>19</v>
      </c>
      <c r="J85" s="33"/>
      <c r="K85" s="33"/>
      <c r="L85" s="33" t="s">
        <v>20</v>
      </c>
      <c r="M85" s="33"/>
      <c r="N85" s="33"/>
      <c r="O85" s="33" t="s">
        <v>21</v>
      </c>
      <c r="P85" s="33"/>
      <c r="Q85" s="33"/>
      <c r="R85" s="33" t="s">
        <v>22</v>
      </c>
      <c r="S85" s="33"/>
      <c r="T85" s="33"/>
      <c r="U85" s="33" t="s">
        <v>23</v>
      </c>
      <c r="V85" s="33"/>
      <c r="W85" s="33"/>
      <c r="X85" s="33" t="s">
        <v>24</v>
      </c>
      <c r="Y85" s="33"/>
      <c r="Z85" s="33"/>
      <c r="AA85" s="33" t="s">
        <v>25</v>
      </c>
      <c r="AB85" s="33"/>
      <c r="AC85" s="33"/>
      <c r="AD85" s="33" t="s">
        <v>26</v>
      </c>
      <c r="AE85" s="33"/>
      <c r="AF85" s="33"/>
      <c r="AG85" s="33" t="s">
        <v>27</v>
      </c>
      <c r="AH85" s="33"/>
      <c r="AI85" s="33"/>
      <c r="AJ85" s="33" t="s">
        <v>28</v>
      </c>
      <c r="AK85" s="33"/>
      <c r="AL85" s="33"/>
      <c r="AM85" s="33" t="s">
        <v>29</v>
      </c>
      <c r="AN85" s="33"/>
      <c r="AO85" s="33"/>
    </row>
    <row r="86" spans="1:41" x14ac:dyDescent="0.3">
      <c r="A86" s="44" t="s">
        <v>415</v>
      </c>
      <c r="B86" s="44"/>
      <c r="C86" s="44"/>
      <c r="D86" s="44"/>
      <c r="E86" s="44"/>
      <c r="F86" s="45">
        <f>COUNTIF(G6:G82,"Sí")</f>
        <v>0</v>
      </c>
      <c r="G86" s="45"/>
      <c r="H86" s="45"/>
      <c r="I86" s="45">
        <f>COUNTIF(J6:J82,"Sí")</f>
        <v>0</v>
      </c>
      <c r="J86" s="45"/>
      <c r="K86" s="45"/>
      <c r="L86" s="45">
        <f>COUNTIF(M6:M82,"Sí")</f>
        <v>0</v>
      </c>
      <c r="M86" s="45"/>
      <c r="N86" s="45"/>
      <c r="O86" s="45">
        <f>COUNTIF(P6:P82,"Sí")</f>
        <v>0</v>
      </c>
      <c r="P86" s="45"/>
      <c r="Q86" s="45"/>
      <c r="R86" s="45">
        <f>COUNTIF(S6:S82,"Sí")</f>
        <v>0</v>
      </c>
      <c r="S86" s="45"/>
      <c r="T86" s="45"/>
      <c r="U86" s="45">
        <f>COUNTIF(V6:V82,"Sí")</f>
        <v>0</v>
      </c>
      <c r="V86" s="45"/>
      <c r="W86" s="45"/>
      <c r="X86" s="45">
        <f>COUNTIF(Y6:Y82,"Sí")</f>
        <v>0</v>
      </c>
      <c r="Y86" s="45"/>
      <c r="Z86" s="45"/>
      <c r="AA86" s="45">
        <f>COUNTIF(AB6:AB82,"Sí")</f>
        <v>0</v>
      </c>
      <c r="AB86" s="45"/>
      <c r="AC86" s="45"/>
      <c r="AD86" s="45">
        <f>COUNTIF(AE6:AE82,"Sí")</f>
        <v>0</v>
      </c>
      <c r="AE86" s="45"/>
      <c r="AF86" s="45"/>
      <c r="AG86" s="45">
        <f>COUNTIF(AH6:AH82,"Sí")</f>
        <v>0</v>
      </c>
      <c r="AH86" s="45"/>
      <c r="AI86" s="45"/>
      <c r="AJ86" s="45">
        <f>COUNTIF(AK6:AK82,"Sí")</f>
        <v>0</v>
      </c>
      <c r="AK86" s="45"/>
      <c r="AL86" s="45"/>
      <c r="AM86" s="45">
        <f>COUNTIF(AN6:AN82,"Sí")</f>
        <v>0</v>
      </c>
      <c r="AN86" s="45"/>
      <c r="AO86" s="45"/>
    </row>
    <row r="87" spans="1:41" x14ac:dyDescent="0.3">
      <c r="A87" s="46" t="s">
        <v>416</v>
      </c>
      <c r="B87" s="46"/>
      <c r="C87" s="46"/>
      <c r="D87" s="46"/>
      <c r="E87" s="46"/>
      <c r="F87" s="45">
        <f>COUNTIF(H6:H82,"Sí")</f>
        <v>0</v>
      </c>
      <c r="G87" s="45"/>
      <c r="H87" s="45"/>
      <c r="I87" s="45">
        <f>COUNTIF(K6:K82,"Sí")</f>
        <v>0</v>
      </c>
      <c r="J87" s="45"/>
      <c r="K87" s="45"/>
      <c r="L87" s="45">
        <f>COUNTIF(N6:N82,"Sí")</f>
        <v>0</v>
      </c>
      <c r="M87" s="45"/>
      <c r="N87" s="45"/>
      <c r="O87" s="45">
        <f>COUNTIF(Q6:Q82,"Sí")</f>
        <v>0</v>
      </c>
      <c r="P87" s="45"/>
      <c r="Q87" s="45"/>
      <c r="R87" s="45">
        <f>COUNTIF(T6:T82,"Sí")</f>
        <v>0</v>
      </c>
      <c r="S87" s="45"/>
      <c r="T87" s="45"/>
      <c r="U87" s="45">
        <f>COUNTIF(W6:W82,"Sí")</f>
        <v>0</v>
      </c>
      <c r="V87" s="45"/>
      <c r="W87" s="45"/>
      <c r="X87" s="45">
        <f>COUNTIF(Z6:Z82,"Sí")</f>
        <v>0</v>
      </c>
      <c r="Y87" s="45"/>
      <c r="Z87" s="45"/>
      <c r="AA87" s="45">
        <f>COUNTIF(AC6:AC82,"Sí")</f>
        <v>0</v>
      </c>
      <c r="AB87" s="45"/>
      <c r="AC87" s="45"/>
      <c r="AD87" s="45">
        <f>COUNTIF(AF6:AF82,"Sí")</f>
        <v>0</v>
      </c>
      <c r="AE87" s="45"/>
      <c r="AF87" s="45"/>
      <c r="AG87" s="45">
        <f>COUNTIF(AI6:AI82,"Sí")</f>
        <v>0</v>
      </c>
      <c r="AH87" s="45"/>
      <c r="AI87" s="45"/>
      <c r="AJ87" s="45">
        <f>COUNTIF(AL6:AL82,"Sí")</f>
        <v>0</v>
      </c>
      <c r="AK87" s="45"/>
      <c r="AL87" s="45"/>
      <c r="AM87" s="45">
        <f>COUNTIF(AO6:AO82,"Sí")</f>
        <v>0</v>
      </c>
      <c r="AN87" s="45"/>
      <c r="AO87" s="45"/>
    </row>
    <row r="88" spans="1:41" ht="34.950000000000003" customHeight="1" x14ac:dyDescent="0.3">
      <c r="A88" s="47" t="s">
        <v>417</v>
      </c>
      <c r="B88" s="47"/>
      <c r="C88" s="47"/>
      <c r="D88" s="47"/>
      <c r="E88" s="47"/>
      <c r="F88" s="39">
        <f>IFERROR(F87/F86,0)</f>
        <v>0</v>
      </c>
      <c r="G88" s="39"/>
      <c r="H88" s="39"/>
      <c r="I88" s="39">
        <f>IFERROR(I87/I86,0)</f>
        <v>0</v>
      </c>
      <c r="J88" s="39"/>
      <c r="K88" s="39"/>
      <c r="L88" s="39">
        <f>IFERROR(L87/L86,0)</f>
        <v>0</v>
      </c>
      <c r="M88" s="39"/>
      <c r="N88" s="39"/>
      <c r="O88" s="39">
        <f>IFERROR(O87/O86,0)</f>
        <v>0</v>
      </c>
      <c r="P88" s="39"/>
      <c r="Q88" s="39"/>
      <c r="R88" s="39">
        <f>IFERROR(R87/R86,0)</f>
        <v>0</v>
      </c>
      <c r="S88" s="39"/>
      <c r="T88" s="39"/>
      <c r="U88" s="39">
        <f>IFERROR(U87/U86,0)</f>
        <v>0</v>
      </c>
      <c r="V88" s="39"/>
      <c r="W88" s="39"/>
      <c r="X88" s="39">
        <f>IFERROR(X87/X86,0)</f>
        <v>0</v>
      </c>
      <c r="Y88" s="39"/>
      <c r="Z88" s="39"/>
      <c r="AA88" s="39">
        <f>IFERROR(AA87/AA86,0)</f>
        <v>0</v>
      </c>
      <c r="AB88" s="39"/>
      <c r="AC88" s="39"/>
      <c r="AD88" s="39">
        <f>IFERROR(AD87/AD86,0)</f>
        <v>0</v>
      </c>
      <c r="AE88" s="39"/>
      <c r="AF88" s="39"/>
      <c r="AG88" s="39">
        <f>IFERROR(AG87/AG86,0)</f>
        <v>0</v>
      </c>
      <c r="AH88" s="39"/>
      <c r="AI88" s="39"/>
      <c r="AJ88" s="39">
        <f>IFERROR(AJ87/AJ86,0)</f>
        <v>0</v>
      </c>
      <c r="AK88" s="39"/>
      <c r="AL88" s="39"/>
      <c r="AM88" s="39">
        <f>IFERROR(AM87/AM86,0)</f>
        <v>0</v>
      </c>
      <c r="AN88" s="39"/>
      <c r="AO88" s="39"/>
    </row>
  </sheetData>
  <mergeCells count="67">
    <mergeCell ref="AG88:AI88"/>
    <mergeCell ref="AJ88:AL88"/>
    <mergeCell ref="AM88:AO88"/>
    <mergeCell ref="R88:T88"/>
    <mergeCell ref="U88:W88"/>
    <mergeCell ref="X88:Z88"/>
    <mergeCell ref="AA88:AC88"/>
    <mergeCell ref="AD88:AF88"/>
    <mergeCell ref="A88:E88"/>
    <mergeCell ref="F88:H88"/>
    <mergeCell ref="I88:K88"/>
    <mergeCell ref="L88:N88"/>
    <mergeCell ref="O88:Q88"/>
    <mergeCell ref="AM86:AO86"/>
    <mergeCell ref="A87:E87"/>
    <mergeCell ref="F87:H87"/>
    <mergeCell ref="I87:K87"/>
    <mergeCell ref="L87:N87"/>
    <mergeCell ref="O87:Q87"/>
    <mergeCell ref="R87:T87"/>
    <mergeCell ref="U87:W87"/>
    <mergeCell ref="X87:Z87"/>
    <mergeCell ref="AA87:AC87"/>
    <mergeCell ref="AD87:AF87"/>
    <mergeCell ref="AG87:AI87"/>
    <mergeCell ref="AJ87:AL87"/>
    <mergeCell ref="AM87:AO87"/>
    <mergeCell ref="AD85:AF85"/>
    <mergeCell ref="AG85:AI85"/>
    <mergeCell ref="AJ85:AL85"/>
    <mergeCell ref="AM85:AO85"/>
    <mergeCell ref="A86:E86"/>
    <mergeCell ref="F86:H86"/>
    <mergeCell ref="I86:K86"/>
    <mergeCell ref="L86:N86"/>
    <mergeCell ref="O86:Q86"/>
    <mergeCell ref="R86:T86"/>
    <mergeCell ref="U86:W86"/>
    <mergeCell ref="X86:Z86"/>
    <mergeCell ref="AA86:AC86"/>
    <mergeCell ref="AD86:AF86"/>
    <mergeCell ref="AG86:AI86"/>
    <mergeCell ref="AJ86:AL86"/>
    <mergeCell ref="O85:Q85"/>
    <mergeCell ref="R85:T85"/>
    <mergeCell ref="U85:W85"/>
    <mergeCell ref="X85:Z85"/>
    <mergeCell ref="AA85:AC85"/>
    <mergeCell ref="A5:E5"/>
    <mergeCell ref="A85:E85"/>
    <mergeCell ref="F85:H85"/>
    <mergeCell ref="I85:K85"/>
    <mergeCell ref="L85:N85"/>
    <mergeCell ref="A1:AO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</mergeCells>
  <conditionalFormatting sqref="F88">
    <cfRule type="cellIs" dxfId="147" priority="50" operator="lessThan">
      <formula>0.8</formula>
    </cfRule>
    <cfRule type="cellIs" dxfId="146" priority="49" operator="greaterThanOrEqual">
      <formula>0.8</formula>
    </cfRule>
  </conditionalFormatting>
  <conditionalFormatting sqref="G6:H82">
    <cfRule type="containsText" dxfId="145" priority="1" operator="containsText" text="Sí">
      <formula>NOT(ISERROR(SEARCH("Sí",G6)))</formula>
    </cfRule>
    <cfRule type="containsText" dxfId="144" priority="2" operator="containsText" text="No">
      <formula>NOT(ISERROR(SEARCH("No",G6)))</formula>
    </cfRule>
  </conditionalFormatting>
  <conditionalFormatting sqref="I88">
    <cfRule type="cellIs" dxfId="143" priority="52" operator="lessThan">
      <formula>0.8</formula>
    </cfRule>
    <cfRule type="cellIs" dxfId="142" priority="51" operator="greaterThanOrEqual">
      <formula>0.8</formula>
    </cfRule>
  </conditionalFormatting>
  <conditionalFormatting sqref="J6:K82">
    <cfRule type="containsText" dxfId="141" priority="5" operator="containsText" text="Sí">
      <formula>NOT(ISERROR(SEARCH("Sí",J6)))</formula>
    </cfRule>
    <cfRule type="containsText" dxfId="140" priority="6" operator="containsText" text="No">
      <formula>NOT(ISERROR(SEARCH("No",J6)))</formula>
    </cfRule>
  </conditionalFormatting>
  <conditionalFormatting sqref="L88">
    <cfRule type="cellIs" dxfId="139" priority="54" operator="lessThan">
      <formula>0.8</formula>
    </cfRule>
    <cfRule type="cellIs" dxfId="138" priority="53" operator="greaterThanOrEqual">
      <formula>0.8</formula>
    </cfRule>
  </conditionalFormatting>
  <conditionalFormatting sqref="M6:N82">
    <cfRule type="containsText" dxfId="137" priority="9" operator="containsText" text="Sí">
      <formula>NOT(ISERROR(SEARCH("Sí",M6)))</formula>
    </cfRule>
    <cfRule type="containsText" dxfId="136" priority="10" operator="containsText" text="No">
      <formula>NOT(ISERROR(SEARCH("No",M6)))</formula>
    </cfRule>
  </conditionalFormatting>
  <conditionalFormatting sqref="O88">
    <cfRule type="cellIs" dxfId="135" priority="56" operator="lessThan">
      <formula>0.8</formula>
    </cfRule>
    <cfRule type="cellIs" dxfId="134" priority="55" operator="greaterThanOrEqual">
      <formula>0.8</formula>
    </cfRule>
  </conditionalFormatting>
  <conditionalFormatting sqref="P6:Q82">
    <cfRule type="containsText" dxfId="133" priority="13" operator="containsText" text="Sí">
      <formula>NOT(ISERROR(SEARCH("Sí",P6)))</formula>
    </cfRule>
    <cfRule type="containsText" dxfId="132" priority="14" operator="containsText" text="No">
      <formula>NOT(ISERROR(SEARCH("No",P6)))</formula>
    </cfRule>
  </conditionalFormatting>
  <conditionalFormatting sqref="R88">
    <cfRule type="cellIs" dxfId="131" priority="58" operator="lessThan">
      <formula>0.8</formula>
    </cfRule>
    <cfRule type="cellIs" dxfId="130" priority="57" operator="greaterThanOrEqual">
      <formula>0.8</formula>
    </cfRule>
  </conditionalFormatting>
  <conditionalFormatting sqref="S6:T82">
    <cfRule type="containsText" dxfId="129" priority="17" operator="containsText" text="Sí">
      <formula>NOT(ISERROR(SEARCH("Sí",S6)))</formula>
    </cfRule>
    <cfRule type="containsText" dxfId="128" priority="18" operator="containsText" text="No">
      <formula>NOT(ISERROR(SEARCH("No",S6)))</formula>
    </cfRule>
  </conditionalFormatting>
  <conditionalFormatting sqref="U88">
    <cfRule type="cellIs" dxfId="127" priority="60" operator="lessThan">
      <formula>0.8</formula>
    </cfRule>
    <cfRule type="cellIs" dxfId="126" priority="59" operator="greaterThanOrEqual">
      <formula>0.8</formula>
    </cfRule>
  </conditionalFormatting>
  <conditionalFormatting sqref="V6:W82">
    <cfRule type="containsText" dxfId="125" priority="21" operator="containsText" text="Sí">
      <formula>NOT(ISERROR(SEARCH("Sí",V6)))</formula>
    </cfRule>
    <cfRule type="containsText" dxfId="124" priority="22" operator="containsText" text="No">
      <formula>NOT(ISERROR(SEARCH("No",V6)))</formula>
    </cfRule>
  </conditionalFormatting>
  <conditionalFormatting sqref="X88">
    <cfRule type="cellIs" dxfId="123" priority="62" operator="lessThan">
      <formula>0.8</formula>
    </cfRule>
    <cfRule type="cellIs" dxfId="122" priority="61" operator="greaterThanOrEqual">
      <formula>0.8</formula>
    </cfRule>
  </conditionalFormatting>
  <conditionalFormatting sqref="Y6:Z82">
    <cfRule type="containsText" dxfId="121" priority="25" operator="containsText" text="Sí">
      <formula>NOT(ISERROR(SEARCH("Sí",Y6)))</formula>
    </cfRule>
    <cfRule type="containsText" dxfId="120" priority="26" operator="containsText" text="No">
      <formula>NOT(ISERROR(SEARCH("No",Y6)))</formula>
    </cfRule>
  </conditionalFormatting>
  <conditionalFormatting sqref="AA88">
    <cfRule type="cellIs" dxfId="119" priority="63" operator="greaterThanOrEqual">
      <formula>0.8</formula>
    </cfRule>
    <cfRule type="cellIs" dxfId="118" priority="64" operator="lessThan">
      <formula>0.8</formula>
    </cfRule>
  </conditionalFormatting>
  <conditionalFormatting sqref="AB6:AC82">
    <cfRule type="containsText" dxfId="117" priority="29" operator="containsText" text="Sí">
      <formula>NOT(ISERROR(SEARCH("Sí",AB6)))</formula>
    </cfRule>
    <cfRule type="containsText" dxfId="116" priority="30" operator="containsText" text="No">
      <formula>NOT(ISERROR(SEARCH("No",AB6)))</formula>
    </cfRule>
  </conditionalFormatting>
  <conditionalFormatting sqref="AD88">
    <cfRule type="cellIs" dxfId="115" priority="65" operator="greaterThanOrEqual">
      <formula>0.8</formula>
    </cfRule>
    <cfRule type="cellIs" dxfId="114" priority="66" operator="lessThan">
      <formula>0.8</formula>
    </cfRule>
  </conditionalFormatting>
  <conditionalFormatting sqref="AE6:AF82">
    <cfRule type="containsText" dxfId="113" priority="33" operator="containsText" text="Sí">
      <formula>NOT(ISERROR(SEARCH("Sí",AE6)))</formula>
    </cfRule>
    <cfRule type="containsText" dxfId="112" priority="34" operator="containsText" text="No">
      <formula>NOT(ISERROR(SEARCH("No",AE6)))</formula>
    </cfRule>
  </conditionalFormatting>
  <conditionalFormatting sqref="AG88">
    <cfRule type="cellIs" dxfId="111" priority="67" operator="greaterThanOrEqual">
      <formula>0.8</formula>
    </cfRule>
    <cfRule type="cellIs" dxfId="110" priority="68" operator="lessThan">
      <formula>0.8</formula>
    </cfRule>
  </conditionalFormatting>
  <conditionalFormatting sqref="AH6:AI82">
    <cfRule type="containsText" dxfId="109" priority="38" operator="containsText" text="No">
      <formula>NOT(ISERROR(SEARCH("No",AH6)))</formula>
    </cfRule>
    <cfRule type="containsText" dxfId="108" priority="37" operator="containsText" text="Sí">
      <formula>NOT(ISERROR(SEARCH("Sí",AH6)))</formula>
    </cfRule>
  </conditionalFormatting>
  <conditionalFormatting sqref="AJ88">
    <cfRule type="cellIs" dxfId="107" priority="70" operator="lessThan">
      <formula>0.8</formula>
    </cfRule>
    <cfRule type="cellIs" dxfId="106" priority="69" operator="greaterThanOrEqual">
      <formula>0.8</formula>
    </cfRule>
  </conditionalFormatting>
  <conditionalFormatting sqref="AK6:AL82">
    <cfRule type="containsText" dxfId="105" priority="41" operator="containsText" text="Sí">
      <formula>NOT(ISERROR(SEARCH("Sí",AK6)))</formula>
    </cfRule>
    <cfRule type="containsText" dxfId="104" priority="42" operator="containsText" text="No">
      <formula>NOT(ISERROR(SEARCH("No",AK6)))</formula>
    </cfRule>
  </conditionalFormatting>
  <conditionalFormatting sqref="AM88">
    <cfRule type="cellIs" dxfId="103" priority="71" operator="greaterThanOrEqual">
      <formula>0.8</formula>
    </cfRule>
    <cfRule type="cellIs" dxfId="102" priority="72" operator="lessThan">
      <formula>0.8</formula>
    </cfRule>
  </conditionalFormatting>
  <conditionalFormatting sqref="AN6:AO82">
    <cfRule type="containsText" dxfId="101" priority="46" operator="containsText" text="No">
      <formula>NOT(ISERROR(SEARCH("No",AN6)))</formula>
    </cfRule>
    <cfRule type="containsText" dxfId="100" priority="45" operator="containsText" text="Sí">
      <formula>NOT(ISERROR(SEARCH("Sí",AN6)))</formula>
    </cfRule>
  </conditionalFormatting>
  <dataValidations count="1">
    <dataValidation type="list" allowBlank="1" showInputMessage="1" showErrorMessage="1" sqref="AN81:AO82 AK81:AL82 AH81:AI82 AE81:AF82 AB81:AC82 Y81:Z82 V81:W82 S81:T82 P81:Q82 M81:N82 J78:K81 AK77:AL77 AH75:AI77 AE72:AF76 AB74:AC74 AN73:AO73 AK73:AL73 AH73:AI73 AB72:AC72 S71:T71 P65:Q71 M69:N70 S69:T69 J66:K69 AN65:AO65 AK65:AL65 AH65:AI65 AE65:AF65 AB65:AC65 Y65:Z65 V65:W65 S65:T65 M64:N65 AN62:AO63 AK62:AL63 AH62:AI63 AE62:AF63 AB62:AC63 Y62:Z63 V62:W63 S62:T63 P61:Q62 M60:N61 AN58:AO59 AK58:AL59 AH58:AI59 AE58:AF59 AB58:AC59 Y58:Z59 V58:W59 S58:T59 P57:Q58 M56:N57 AN55:AO55 AK55:AL55 AH55:AI55 AE55:AF55 AB55:AC55 Y55:Z55 V55:W55 S52:T55 P52:Q53 M52:N53 J51:K51 G51:H51 AN50:AO50 AK50:AL50 AH49:AI49 AE49:AF49 AB45:AC48 Y45:Z48 AN45:AO46 AK45:AL46 AH45:AI46 AE45:AF46 V44:W44 S44:T44 P42:Q43 M41:N42 AK40:AL40 AB40:AC40 S40:T40 AN39:AO39 AH39:AI39 AE39:AF39 Y39:Z39 V39:W39 P39:Q39 M38:N39 J38:K38 AN37:AO37 AK37:AL37 AH37:AI37 AE37:AF37 AB37:AC37 Y37:Z37 V36:W37 S36:T36 P35:Q35 M35:N35 J35:K35 AN34:AO34 AK34:AL34 AH34:AI34 AE34:AF34 AB34:AC34 Y34:Z34 V32:W34 S31:T33 P30:Q31 M29:N30 J29:K29 AN26:AO28 AK28:AL28 AH28:AI28 AE26:AF28 AB28:AC28 Y28:Z28 V26:W28 AK26:AL26 AH26:AI26 AB26:AC26 Y26:Z26 S26:T26 P25:Q26 M24:N25 AN23:AO23 AK23:AL23 AH23:AI23 AE23:AF23 AB23:AC23 Y23:Z23 V23:W23 S22:T23 P17:Q23 M20:N20 AN19:AO19 AK19:AL19 AH19:AI19 AE19:AF19 AB19:AC19 Y19:Z19 V19:W19 S17:T19 M15:N18 J15:K16 AN14:AO14 AK14:AL14 AH14:AI14 AE14:AF14 AB14:AC14 Y14:Z14 V13:W14 S13:T13 P12:Q13 M6:N13 J10:K13 G13:H13 AN9:AO9 AK9:AL9 AH9:AI9 AE9:AF9 AB9:AC9 Y9:Z9 V9:W9 S9:T9 P9:Q9 J6:K8 G6:H6" xr:uid="{00000000-0002-0000-0300-000000000000}">
      <formula1>"Sí,No"</formula1>
    </dataValidation>
  </dataValidations>
  <pageMargins left="0.7" right="0.7" top="0.75" bottom="0.7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N78"/>
  <sheetViews>
    <sheetView showGridLines="0" zoomScale="85" zoomScaleNormal="85" workbookViewId="0">
      <pane ySplit="4" topLeftCell="A5" activePane="bottomLeft" state="frozen"/>
      <selection pane="bottomLeft" activeCell="D5" sqref="D5"/>
    </sheetView>
  </sheetViews>
  <sheetFormatPr baseColWidth="10" defaultColWidth="8.88671875" defaultRowHeight="14.4" x14ac:dyDescent="0.3"/>
  <cols>
    <col min="1" max="1" width="5.6640625" style="65" customWidth="1"/>
    <col min="2" max="2" width="10.6640625" style="65" customWidth="1"/>
    <col min="3" max="3" width="8.6640625" style="65" customWidth="1"/>
    <col min="4" max="5" width="35.6640625" style="65" customWidth="1"/>
    <col min="6" max="7" width="14.6640625" style="65" customWidth="1"/>
    <col min="8" max="10" width="13.6640625" style="65" customWidth="1"/>
    <col min="11" max="12" width="12.6640625" style="65" customWidth="1"/>
    <col min="13" max="13" width="30.6640625" style="65" customWidth="1"/>
    <col min="14" max="14" width="25.6640625" style="65" customWidth="1"/>
    <col min="15" max="16384" width="8.88671875" style="65"/>
  </cols>
  <sheetData>
    <row r="1" spans="1:14" ht="37.950000000000003" customHeight="1" x14ac:dyDescent="0.3">
      <c r="A1" s="48" t="s">
        <v>418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8.05" customHeight="1" x14ac:dyDescent="0.3">
      <c r="A2" s="71" t="s">
        <v>419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2.05" customHeight="1" x14ac:dyDescent="0.3">
      <c r="A3" s="72" t="s">
        <v>420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1:14" ht="34.950000000000003" customHeight="1" x14ac:dyDescent="0.3">
      <c r="A4" s="20" t="s">
        <v>30</v>
      </c>
      <c r="B4" s="20" t="s">
        <v>376</v>
      </c>
      <c r="C4" s="20" t="s">
        <v>421</v>
      </c>
      <c r="D4" s="20" t="s">
        <v>422</v>
      </c>
      <c r="E4" s="20" t="s">
        <v>423</v>
      </c>
      <c r="F4" s="20" t="s">
        <v>424</v>
      </c>
      <c r="G4" s="20" t="s">
        <v>34</v>
      </c>
      <c r="H4" s="20" t="s">
        <v>425</v>
      </c>
      <c r="I4" s="20" t="s">
        <v>426</v>
      </c>
      <c r="J4" s="20" t="s">
        <v>427</v>
      </c>
      <c r="K4" s="20" t="s">
        <v>378</v>
      </c>
      <c r="L4" s="20" t="s">
        <v>428</v>
      </c>
      <c r="M4" s="20" t="s">
        <v>429</v>
      </c>
      <c r="N4" s="20" t="s">
        <v>430</v>
      </c>
    </row>
    <row r="5" spans="1:14" ht="25.05" customHeight="1" x14ac:dyDescent="0.3">
      <c r="A5" s="13">
        <v>1</v>
      </c>
      <c r="B5" s="13"/>
      <c r="C5" s="13"/>
      <c r="D5" s="10"/>
      <c r="E5" s="10"/>
      <c r="F5" s="13"/>
      <c r="G5" s="13"/>
      <c r="H5" s="21"/>
      <c r="I5" s="21"/>
      <c r="J5" s="21"/>
      <c r="K5" s="13"/>
      <c r="L5" s="13"/>
      <c r="M5" s="10"/>
      <c r="N5" s="10"/>
    </row>
    <row r="6" spans="1:14" ht="25.05" customHeight="1" x14ac:dyDescent="0.3">
      <c r="A6" s="22">
        <v>2</v>
      </c>
      <c r="B6" s="22"/>
      <c r="C6" s="22"/>
      <c r="D6" s="6"/>
      <c r="E6" s="6"/>
      <c r="F6" s="22"/>
      <c r="G6" s="22"/>
      <c r="H6" s="23"/>
      <c r="I6" s="23"/>
      <c r="J6" s="23"/>
      <c r="K6" s="22"/>
      <c r="L6" s="22"/>
      <c r="M6" s="6"/>
      <c r="N6" s="6"/>
    </row>
    <row r="7" spans="1:14" ht="25.05" customHeight="1" x14ac:dyDescent="0.3">
      <c r="A7" s="13">
        <v>3</v>
      </c>
      <c r="B7" s="13"/>
      <c r="C7" s="13"/>
      <c r="D7" s="10"/>
      <c r="E7" s="10"/>
      <c r="F7" s="13"/>
      <c r="G7" s="13"/>
      <c r="H7" s="21"/>
      <c r="I7" s="21"/>
      <c r="J7" s="21"/>
      <c r="K7" s="13"/>
      <c r="L7" s="13"/>
      <c r="M7" s="10"/>
      <c r="N7" s="10"/>
    </row>
    <row r="8" spans="1:14" ht="25.05" customHeight="1" x14ac:dyDescent="0.3">
      <c r="A8" s="22">
        <v>4</v>
      </c>
      <c r="B8" s="22"/>
      <c r="C8" s="22"/>
      <c r="D8" s="6"/>
      <c r="E8" s="6"/>
      <c r="F8" s="22"/>
      <c r="G8" s="22"/>
      <c r="H8" s="23"/>
      <c r="I8" s="23"/>
      <c r="J8" s="23"/>
      <c r="K8" s="22"/>
      <c r="L8" s="22"/>
      <c r="M8" s="6"/>
      <c r="N8" s="6"/>
    </row>
    <row r="9" spans="1:14" ht="25.05" customHeight="1" x14ac:dyDescent="0.3">
      <c r="A9" s="13">
        <v>5</v>
      </c>
      <c r="B9" s="13"/>
      <c r="C9" s="13"/>
      <c r="D9" s="10"/>
      <c r="E9" s="10"/>
      <c r="F9" s="13"/>
      <c r="G9" s="13"/>
      <c r="H9" s="21"/>
      <c r="I9" s="21"/>
      <c r="J9" s="21"/>
      <c r="K9" s="13"/>
      <c r="L9" s="13"/>
      <c r="M9" s="10"/>
      <c r="N9" s="10"/>
    </row>
    <row r="10" spans="1:14" ht="25.05" customHeight="1" x14ac:dyDescent="0.3">
      <c r="A10" s="22">
        <v>6</v>
      </c>
      <c r="B10" s="22"/>
      <c r="C10" s="22"/>
      <c r="D10" s="6"/>
      <c r="E10" s="6"/>
      <c r="F10" s="22"/>
      <c r="G10" s="22"/>
      <c r="H10" s="23"/>
      <c r="I10" s="23"/>
      <c r="J10" s="23"/>
      <c r="K10" s="22"/>
      <c r="L10" s="22"/>
      <c r="M10" s="6"/>
      <c r="N10" s="6"/>
    </row>
    <row r="11" spans="1:14" ht="25.05" customHeight="1" x14ac:dyDescent="0.3">
      <c r="A11" s="13">
        <v>7</v>
      </c>
      <c r="B11" s="13"/>
      <c r="C11" s="13"/>
      <c r="D11" s="10"/>
      <c r="E11" s="10"/>
      <c r="F11" s="13"/>
      <c r="G11" s="13"/>
      <c r="H11" s="21"/>
      <c r="I11" s="21"/>
      <c r="J11" s="21"/>
      <c r="K11" s="13"/>
      <c r="L11" s="13"/>
      <c r="M11" s="10"/>
      <c r="N11" s="10"/>
    </row>
    <row r="12" spans="1:14" ht="25.05" customHeight="1" x14ac:dyDescent="0.3">
      <c r="A12" s="22">
        <v>8</v>
      </c>
      <c r="B12" s="22"/>
      <c r="C12" s="22"/>
      <c r="D12" s="6"/>
      <c r="E12" s="6"/>
      <c r="F12" s="22"/>
      <c r="G12" s="22"/>
      <c r="H12" s="23"/>
      <c r="I12" s="23"/>
      <c r="J12" s="23"/>
      <c r="K12" s="22"/>
      <c r="L12" s="22"/>
      <c r="M12" s="6"/>
      <c r="N12" s="6"/>
    </row>
    <row r="13" spans="1:14" ht="25.05" customHeight="1" x14ac:dyDescent="0.3">
      <c r="A13" s="13">
        <v>9</v>
      </c>
      <c r="B13" s="13"/>
      <c r="C13" s="13"/>
      <c r="D13" s="10"/>
      <c r="E13" s="10"/>
      <c r="F13" s="13"/>
      <c r="G13" s="13"/>
      <c r="H13" s="21"/>
      <c r="I13" s="21"/>
      <c r="J13" s="21"/>
      <c r="K13" s="13"/>
      <c r="L13" s="13"/>
      <c r="M13" s="10"/>
      <c r="N13" s="10"/>
    </row>
    <row r="14" spans="1:14" ht="25.05" customHeight="1" x14ac:dyDescent="0.3">
      <c r="A14" s="22">
        <v>10</v>
      </c>
      <c r="B14" s="22"/>
      <c r="C14" s="22"/>
      <c r="D14" s="6"/>
      <c r="E14" s="6"/>
      <c r="F14" s="22"/>
      <c r="G14" s="22"/>
      <c r="H14" s="23"/>
      <c r="I14" s="23"/>
      <c r="J14" s="23"/>
      <c r="K14" s="22"/>
      <c r="L14" s="22"/>
      <c r="M14" s="6"/>
      <c r="N14" s="6"/>
    </row>
    <row r="15" spans="1:14" ht="25.05" customHeight="1" x14ac:dyDescent="0.3">
      <c r="A15" s="13">
        <v>11</v>
      </c>
      <c r="B15" s="13"/>
      <c r="C15" s="13"/>
      <c r="D15" s="10"/>
      <c r="E15" s="10"/>
      <c r="F15" s="13"/>
      <c r="G15" s="13"/>
      <c r="H15" s="21"/>
      <c r="I15" s="21"/>
      <c r="J15" s="21"/>
      <c r="K15" s="13"/>
      <c r="L15" s="13"/>
      <c r="M15" s="10"/>
      <c r="N15" s="10"/>
    </row>
    <row r="16" spans="1:14" ht="25.05" customHeight="1" x14ac:dyDescent="0.3">
      <c r="A16" s="22">
        <v>12</v>
      </c>
      <c r="B16" s="22"/>
      <c r="C16" s="22"/>
      <c r="D16" s="6"/>
      <c r="E16" s="6"/>
      <c r="F16" s="22"/>
      <c r="G16" s="22"/>
      <c r="H16" s="23"/>
      <c r="I16" s="23"/>
      <c r="J16" s="23"/>
      <c r="K16" s="22"/>
      <c r="L16" s="22"/>
      <c r="M16" s="6"/>
      <c r="N16" s="6"/>
    </row>
    <row r="17" spans="1:14" ht="25.05" customHeight="1" x14ac:dyDescent="0.3">
      <c r="A17" s="13">
        <v>13</v>
      </c>
      <c r="B17" s="13"/>
      <c r="C17" s="13"/>
      <c r="D17" s="10"/>
      <c r="E17" s="10"/>
      <c r="F17" s="13"/>
      <c r="G17" s="13"/>
      <c r="H17" s="21"/>
      <c r="I17" s="21"/>
      <c r="J17" s="21"/>
      <c r="K17" s="13"/>
      <c r="L17" s="13"/>
      <c r="M17" s="10"/>
      <c r="N17" s="10"/>
    </row>
    <row r="18" spans="1:14" ht="25.05" customHeight="1" x14ac:dyDescent="0.3">
      <c r="A18" s="22">
        <v>14</v>
      </c>
      <c r="B18" s="22"/>
      <c r="C18" s="22"/>
      <c r="D18" s="6"/>
      <c r="E18" s="6"/>
      <c r="F18" s="22"/>
      <c r="G18" s="22"/>
      <c r="H18" s="23"/>
      <c r="I18" s="23"/>
      <c r="J18" s="23"/>
      <c r="K18" s="22"/>
      <c r="L18" s="22"/>
      <c r="M18" s="6"/>
      <c r="N18" s="6"/>
    </row>
    <row r="19" spans="1:14" ht="25.05" customHeight="1" x14ac:dyDescent="0.3">
      <c r="A19" s="13">
        <v>15</v>
      </c>
      <c r="B19" s="13"/>
      <c r="C19" s="13"/>
      <c r="D19" s="10"/>
      <c r="E19" s="10"/>
      <c r="F19" s="13"/>
      <c r="G19" s="13"/>
      <c r="H19" s="21"/>
      <c r="I19" s="21"/>
      <c r="J19" s="21"/>
      <c r="K19" s="13"/>
      <c r="L19" s="13"/>
      <c r="M19" s="10"/>
      <c r="N19" s="10"/>
    </row>
    <row r="20" spans="1:14" ht="25.05" customHeight="1" x14ac:dyDescent="0.3">
      <c r="A20" s="22">
        <v>16</v>
      </c>
      <c r="B20" s="22"/>
      <c r="C20" s="22"/>
      <c r="D20" s="6"/>
      <c r="E20" s="6"/>
      <c r="F20" s="22"/>
      <c r="G20" s="22"/>
      <c r="H20" s="23"/>
      <c r="I20" s="23"/>
      <c r="J20" s="23"/>
      <c r="K20" s="22"/>
      <c r="L20" s="22"/>
      <c r="M20" s="6"/>
      <c r="N20" s="6"/>
    </row>
    <row r="21" spans="1:14" ht="25.05" customHeight="1" x14ac:dyDescent="0.3">
      <c r="A21" s="13">
        <v>17</v>
      </c>
      <c r="B21" s="13"/>
      <c r="C21" s="13"/>
      <c r="D21" s="10"/>
      <c r="E21" s="10"/>
      <c r="F21" s="13"/>
      <c r="G21" s="13"/>
      <c r="H21" s="21"/>
      <c r="I21" s="21"/>
      <c r="J21" s="21"/>
      <c r="K21" s="13"/>
      <c r="L21" s="13"/>
      <c r="M21" s="10"/>
      <c r="N21" s="10"/>
    </row>
    <row r="22" spans="1:14" ht="25.05" customHeight="1" x14ac:dyDescent="0.3">
      <c r="A22" s="22">
        <v>18</v>
      </c>
      <c r="B22" s="22"/>
      <c r="C22" s="22"/>
      <c r="D22" s="6"/>
      <c r="E22" s="6"/>
      <c r="F22" s="22"/>
      <c r="G22" s="22"/>
      <c r="H22" s="23"/>
      <c r="I22" s="23"/>
      <c r="J22" s="23"/>
      <c r="K22" s="22"/>
      <c r="L22" s="22"/>
      <c r="M22" s="6"/>
      <c r="N22" s="6"/>
    </row>
    <row r="23" spans="1:14" ht="25.05" customHeight="1" x14ac:dyDescent="0.3">
      <c r="A23" s="13">
        <v>19</v>
      </c>
      <c r="B23" s="13"/>
      <c r="C23" s="13"/>
      <c r="D23" s="10"/>
      <c r="E23" s="10"/>
      <c r="F23" s="13"/>
      <c r="G23" s="13"/>
      <c r="H23" s="21"/>
      <c r="I23" s="21"/>
      <c r="J23" s="21"/>
      <c r="K23" s="13"/>
      <c r="L23" s="13"/>
      <c r="M23" s="10"/>
      <c r="N23" s="10"/>
    </row>
    <row r="24" spans="1:14" ht="25.05" customHeight="1" x14ac:dyDescent="0.3">
      <c r="A24" s="22">
        <v>20</v>
      </c>
      <c r="B24" s="22"/>
      <c r="C24" s="22"/>
      <c r="D24" s="6"/>
      <c r="E24" s="6"/>
      <c r="F24" s="22"/>
      <c r="G24" s="22"/>
      <c r="H24" s="23"/>
      <c r="I24" s="23"/>
      <c r="J24" s="23"/>
      <c r="K24" s="22"/>
      <c r="L24" s="22"/>
      <c r="M24" s="6"/>
      <c r="N24" s="6"/>
    </row>
    <row r="25" spans="1:14" ht="25.05" customHeight="1" x14ac:dyDescent="0.3">
      <c r="A25" s="13">
        <v>21</v>
      </c>
      <c r="B25" s="13"/>
      <c r="C25" s="13"/>
      <c r="D25" s="10"/>
      <c r="E25" s="10"/>
      <c r="F25" s="13"/>
      <c r="G25" s="13"/>
      <c r="H25" s="21"/>
      <c r="I25" s="21"/>
      <c r="J25" s="21"/>
      <c r="K25" s="13"/>
      <c r="L25" s="13"/>
      <c r="M25" s="10"/>
      <c r="N25" s="10"/>
    </row>
    <row r="26" spans="1:14" ht="25.05" customHeight="1" x14ac:dyDescent="0.3">
      <c r="A26" s="22">
        <v>22</v>
      </c>
      <c r="B26" s="22"/>
      <c r="C26" s="22"/>
      <c r="D26" s="6"/>
      <c r="E26" s="6"/>
      <c r="F26" s="22"/>
      <c r="G26" s="22"/>
      <c r="H26" s="23"/>
      <c r="I26" s="23"/>
      <c r="J26" s="23"/>
      <c r="K26" s="22"/>
      <c r="L26" s="22"/>
      <c r="M26" s="6"/>
      <c r="N26" s="6"/>
    </row>
    <row r="27" spans="1:14" ht="25.05" customHeight="1" x14ac:dyDescent="0.3">
      <c r="A27" s="13">
        <v>23</v>
      </c>
      <c r="B27" s="13"/>
      <c r="C27" s="13"/>
      <c r="D27" s="10"/>
      <c r="E27" s="10"/>
      <c r="F27" s="13"/>
      <c r="G27" s="13"/>
      <c r="H27" s="21"/>
      <c r="I27" s="21"/>
      <c r="J27" s="21"/>
      <c r="K27" s="13"/>
      <c r="L27" s="13"/>
      <c r="M27" s="10"/>
      <c r="N27" s="10"/>
    </row>
    <row r="28" spans="1:14" ht="25.05" customHeight="1" x14ac:dyDescent="0.3">
      <c r="A28" s="22">
        <v>24</v>
      </c>
      <c r="B28" s="22"/>
      <c r="C28" s="22"/>
      <c r="D28" s="6"/>
      <c r="E28" s="6"/>
      <c r="F28" s="22"/>
      <c r="G28" s="22"/>
      <c r="H28" s="23"/>
      <c r="I28" s="23"/>
      <c r="J28" s="23"/>
      <c r="K28" s="22"/>
      <c r="L28" s="22"/>
      <c r="M28" s="6"/>
      <c r="N28" s="6"/>
    </row>
    <row r="29" spans="1:14" ht="25.05" customHeight="1" x14ac:dyDescent="0.3">
      <c r="A29" s="13">
        <v>25</v>
      </c>
      <c r="B29" s="13"/>
      <c r="C29" s="13"/>
      <c r="D29" s="10"/>
      <c r="E29" s="10"/>
      <c r="F29" s="13"/>
      <c r="G29" s="13"/>
      <c r="H29" s="21"/>
      <c r="I29" s="21"/>
      <c r="J29" s="21"/>
      <c r="K29" s="13"/>
      <c r="L29" s="13"/>
      <c r="M29" s="10"/>
      <c r="N29" s="10"/>
    </row>
    <row r="30" spans="1:14" ht="25.05" customHeight="1" x14ac:dyDescent="0.3">
      <c r="A30" s="22">
        <v>26</v>
      </c>
      <c r="B30" s="22"/>
      <c r="C30" s="22"/>
      <c r="D30" s="6"/>
      <c r="E30" s="6"/>
      <c r="F30" s="22"/>
      <c r="G30" s="22"/>
      <c r="H30" s="23"/>
      <c r="I30" s="23"/>
      <c r="J30" s="23"/>
      <c r="K30" s="22"/>
      <c r="L30" s="22"/>
      <c r="M30" s="6"/>
      <c r="N30" s="6"/>
    </row>
    <row r="31" spans="1:14" ht="25.05" customHeight="1" x14ac:dyDescent="0.3">
      <c r="A31" s="13">
        <v>27</v>
      </c>
      <c r="B31" s="13"/>
      <c r="C31" s="13"/>
      <c r="D31" s="10"/>
      <c r="E31" s="10"/>
      <c r="F31" s="13"/>
      <c r="G31" s="13"/>
      <c r="H31" s="21"/>
      <c r="I31" s="21"/>
      <c r="J31" s="21"/>
      <c r="K31" s="13"/>
      <c r="L31" s="13"/>
      <c r="M31" s="10"/>
      <c r="N31" s="10"/>
    </row>
    <row r="32" spans="1:14" ht="25.05" customHeight="1" x14ac:dyDescent="0.3">
      <c r="A32" s="22">
        <v>28</v>
      </c>
      <c r="B32" s="22"/>
      <c r="C32" s="22"/>
      <c r="D32" s="6"/>
      <c r="E32" s="6"/>
      <c r="F32" s="22"/>
      <c r="G32" s="22"/>
      <c r="H32" s="23"/>
      <c r="I32" s="23"/>
      <c r="J32" s="23"/>
      <c r="K32" s="22"/>
      <c r="L32" s="22"/>
      <c r="M32" s="6"/>
      <c r="N32" s="6"/>
    </row>
    <row r="33" spans="1:14" ht="25.05" customHeight="1" x14ac:dyDescent="0.3">
      <c r="A33" s="13">
        <v>29</v>
      </c>
      <c r="B33" s="13"/>
      <c r="C33" s="13"/>
      <c r="D33" s="10"/>
      <c r="E33" s="10"/>
      <c r="F33" s="13"/>
      <c r="G33" s="13"/>
      <c r="H33" s="21"/>
      <c r="I33" s="21"/>
      <c r="J33" s="21"/>
      <c r="K33" s="13"/>
      <c r="L33" s="13"/>
      <c r="M33" s="10"/>
      <c r="N33" s="10"/>
    </row>
    <row r="34" spans="1:14" ht="25.05" customHeight="1" x14ac:dyDescent="0.3">
      <c r="A34" s="22">
        <v>30</v>
      </c>
      <c r="B34" s="22"/>
      <c r="C34" s="22"/>
      <c r="D34" s="6"/>
      <c r="E34" s="6"/>
      <c r="F34" s="22"/>
      <c r="G34" s="22"/>
      <c r="H34" s="23"/>
      <c r="I34" s="23"/>
      <c r="J34" s="23"/>
      <c r="K34" s="22"/>
      <c r="L34" s="22"/>
      <c r="M34" s="6"/>
      <c r="N34" s="6"/>
    </row>
    <row r="35" spans="1:14" ht="25.05" customHeight="1" x14ac:dyDescent="0.3">
      <c r="A35" s="13">
        <v>31</v>
      </c>
      <c r="B35" s="13"/>
      <c r="C35" s="13"/>
      <c r="D35" s="10"/>
      <c r="E35" s="10"/>
      <c r="F35" s="13"/>
      <c r="G35" s="13"/>
      <c r="H35" s="21"/>
      <c r="I35" s="21"/>
      <c r="J35" s="21"/>
      <c r="K35" s="13"/>
      <c r="L35" s="13"/>
      <c r="M35" s="10"/>
      <c r="N35" s="10"/>
    </row>
    <row r="36" spans="1:14" ht="25.05" customHeight="1" x14ac:dyDescent="0.3">
      <c r="A36" s="22">
        <v>32</v>
      </c>
      <c r="B36" s="22"/>
      <c r="C36" s="22"/>
      <c r="D36" s="6"/>
      <c r="E36" s="6"/>
      <c r="F36" s="22"/>
      <c r="G36" s="22"/>
      <c r="H36" s="23"/>
      <c r="I36" s="23"/>
      <c r="J36" s="23"/>
      <c r="K36" s="22"/>
      <c r="L36" s="22"/>
      <c r="M36" s="6"/>
      <c r="N36" s="6"/>
    </row>
    <row r="37" spans="1:14" ht="25.05" customHeight="1" x14ac:dyDescent="0.3">
      <c r="A37" s="13">
        <v>33</v>
      </c>
      <c r="B37" s="13"/>
      <c r="C37" s="13"/>
      <c r="D37" s="10"/>
      <c r="E37" s="10"/>
      <c r="F37" s="13"/>
      <c r="G37" s="13"/>
      <c r="H37" s="21"/>
      <c r="I37" s="21"/>
      <c r="J37" s="21"/>
      <c r="K37" s="13"/>
      <c r="L37" s="13"/>
      <c r="M37" s="10"/>
      <c r="N37" s="10"/>
    </row>
    <row r="38" spans="1:14" ht="25.05" customHeight="1" x14ac:dyDescent="0.3">
      <c r="A38" s="22">
        <v>34</v>
      </c>
      <c r="B38" s="22"/>
      <c r="C38" s="22"/>
      <c r="D38" s="6"/>
      <c r="E38" s="6"/>
      <c r="F38" s="22"/>
      <c r="G38" s="22"/>
      <c r="H38" s="23"/>
      <c r="I38" s="23"/>
      <c r="J38" s="23"/>
      <c r="K38" s="22"/>
      <c r="L38" s="22"/>
      <c r="M38" s="6"/>
      <c r="N38" s="6"/>
    </row>
    <row r="39" spans="1:14" ht="25.05" customHeight="1" x14ac:dyDescent="0.3">
      <c r="A39" s="13">
        <v>35</v>
      </c>
      <c r="B39" s="13"/>
      <c r="C39" s="13"/>
      <c r="D39" s="10"/>
      <c r="E39" s="10"/>
      <c r="F39" s="13"/>
      <c r="G39" s="13"/>
      <c r="H39" s="21"/>
      <c r="I39" s="21"/>
      <c r="J39" s="21"/>
      <c r="K39" s="13"/>
      <c r="L39" s="13"/>
      <c r="M39" s="10"/>
      <c r="N39" s="10"/>
    </row>
    <row r="40" spans="1:14" ht="25.05" customHeight="1" x14ac:dyDescent="0.3">
      <c r="A40" s="22">
        <v>36</v>
      </c>
      <c r="B40" s="22"/>
      <c r="C40" s="22"/>
      <c r="D40" s="6"/>
      <c r="E40" s="6"/>
      <c r="F40" s="22"/>
      <c r="G40" s="22"/>
      <c r="H40" s="23"/>
      <c r="I40" s="23"/>
      <c r="J40" s="23"/>
      <c r="K40" s="22"/>
      <c r="L40" s="22"/>
      <c r="M40" s="6"/>
      <c r="N40" s="6"/>
    </row>
    <row r="41" spans="1:14" ht="25.05" customHeight="1" x14ac:dyDescent="0.3">
      <c r="A41" s="13">
        <v>37</v>
      </c>
      <c r="B41" s="13"/>
      <c r="C41" s="13"/>
      <c r="D41" s="10"/>
      <c r="E41" s="10"/>
      <c r="F41" s="13"/>
      <c r="G41" s="13"/>
      <c r="H41" s="21"/>
      <c r="I41" s="21"/>
      <c r="J41" s="21"/>
      <c r="K41" s="13"/>
      <c r="L41" s="13"/>
      <c r="M41" s="10"/>
      <c r="N41" s="10"/>
    </row>
    <row r="42" spans="1:14" ht="25.05" customHeight="1" x14ac:dyDescent="0.3">
      <c r="A42" s="22">
        <v>38</v>
      </c>
      <c r="B42" s="22"/>
      <c r="C42" s="22"/>
      <c r="D42" s="6"/>
      <c r="E42" s="6"/>
      <c r="F42" s="22"/>
      <c r="G42" s="22"/>
      <c r="H42" s="23"/>
      <c r="I42" s="23"/>
      <c r="J42" s="23"/>
      <c r="K42" s="22"/>
      <c r="L42" s="22"/>
      <c r="M42" s="6"/>
      <c r="N42" s="6"/>
    </row>
    <row r="43" spans="1:14" ht="25.05" customHeight="1" x14ac:dyDescent="0.3">
      <c r="A43" s="13">
        <v>39</v>
      </c>
      <c r="B43" s="13"/>
      <c r="C43" s="13"/>
      <c r="D43" s="10"/>
      <c r="E43" s="10"/>
      <c r="F43" s="13"/>
      <c r="G43" s="13"/>
      <c r="H43" s="21"/>
      <c r="I43" s="21"/>
      <c r="J43" s="21"/>
      <c r="K43" s="13"/>
      <c r="L43" s="13"/>
      <c r="M43" s="10"/>
      <c r="N43" s="10"/>
    </row>
    <row r="44" spans="1:14" ht="25.05" customHeight="1" x14ac:dyDescent="0.3">
      <c r="A44" s="22">
        <v>40</v>
      </c>
      <c r="B44" s="22"/>
      <c r="C44" s="22"/>
      <c r="D44" s="6"/>
      <c r="E44" s="6"/>
      <c r="F44" s="22"/>
      <c r="G44" s="22"/>
      <c r="H44" s="23"/>
      <c r="I44" s="23"/>
      <c r="J44" s="23"/>
      <c r="K44" s="22"/>
      <c r="L44" s="22"/>
      <c r="M44" s="6"/>
      <c r="N44" s="6"/>
    </row>
    <row r="45" spans="1:14" ht="25.05" customHeight="1" x14ac:dyDescent="0.3">
      <c r="A45" s="13">
        <v>41</v>
      </c>
      <c r="B45" s="13"/>
      <c r="C45" s="13"/>
      <c r="D45" s="10"/>
      <c r="E45" s="10"/>
      <c r="F45" s="13"/>
      <c r="G45" s="13"/>
      <c r="H45" s="21"/>
      <c r="I45" s="21"/>
      <c r="J45" s="21"/>
      <c r="K45" s="13"/>
      <c r="L45" s="13"/>
      <c r="M45" s="10"/>
      <c r="N45" s="10"/>
    </row>
    <row r="46" spans="1:14" ht="25.05" customHeight="1" x14ac:dyDescent="0.3">
      <c r="A46" s="22">
        <v>42</v>
      </c>
      <c r="B46" s="22"/>
      <c r="C46" s="22"/>
      <c r="D46" s="6"/>
      <c r="E46" s="6"/>
      <c r="F46" s="22"/>
      <c r="G46" s="22"/>
      <c r="H46" s="23"/>
      <c r="I46" s="23"/>
      <c r="J46" s="23"/>
      <c r="K46" s="22"/>
      <c r="L46" s="22"/>
      <c r="M46" s="6"/>
      <c r="N46" s="6"/>
    </row>
    <row r="47" spans="1:14" ht="25.05" customHeight="1" x14ac:dyDescent="0.3">
      <c r="A47" s="13">
        <v>43</v>
      </c>
      <c r="B47" s="13"/>
      <c r="C47" s="13"/>
      <c r="D47" s="10"/>
      <c r="E47" s="10"/>
      <c r="F47" s="13"/>
      <c r="G47" s="13"/>
      <c r="H47" s="21"/>
      <c r="I47" s="21"/>
      <c r="J47" s="21"/>
      <c r="K47" s="13"/>
      <c r="L47" s="13"/>
      <c r="M47" s="10"/>
      <c r="N47" s="10"/>
    </row>
    <row r="48" spans="1:14" ht="25.05" customHeight="1" x14ac:dyDescent="0.3">
      <c r="A48" s="22">
        <v>44</v>
      </c>
      <c r="B48" s="22"/>
      <c r="C48" s="22"/>
      <c r="D48" s="6"/>
      <c r="E48" s="6"/>
      <c r="F48" s="22"/>
      <c r="G48" s="22"/>
      <c r="H48" s="23"/>
      <c r="I48" s="23"/>
      <c r="J48" s="23"/>
      <c r="K48" s="22"/>
      <c r="L48" s="22"/>
      <c r="M48" s="6"/>
      <c r="N48" s="6"/>
    </row>
    <row r="49" spans="1:14" ht="25.05" customHeight="1" x14ac:dyDescent="0.3">
      <c r="A49" s="13">
        <v>45</v>
      </c>
      <c r="B49" s="13"/>
      <c r="C49" s="13"/>
      <c r="D49" s="10"/>
      <c r="E49" s="10"/>
      <c r="F49" s="13"/>
      <c r="G49" s="13"/>
      <c r="H49" s="21"/>
      <c r="I49" s="21"/>
      <c r="J49" s="21"/>
      <c r="K49" s="13"/>
      <c r="L49" s="13"/>
      <c r="M49" s="10"/>
      <c r="N49" s="10"/>
    </row>
    <row r="50" spans="1:14" ht="25.05" customHeight="1" x14ac:dyDescent="0.3">
      <c r="A50" s="22">
        <v>46</v>
      </c>
      <c r="B50" s="22"/>
      <c r="C50" s="22"/>
      <c r="D50" s="6"/>
      <c r="E50" s="6"/>
      <c r="F50" s="22"/>
      <c r="G50" s="22"/>
      <c r="H50" s="23"/>
      <c r="I50" s="23"/>
      <c r="J50" s="23"/>
      <c r="K50" s="22"/>
      <c r="L50" s="22"/>
      <c r="M50" s="6"/>
      <c r="N50" s="6"/>
    </row>
    <row r="51" spans="1:14" ht="25.05" customHeight="1" x14ac:dyDescent="0.3">
      <c r="A51" s="13">
        <v>47</v>
      </c>
      <c r="B51" s="13"/>
      <c r="C51" s="13"/>
      <c r="D51" s="10"/>
      <c r="E51" s="10"/>
      <c r="F51" s="13"/>
      <c r="G51" s="13"/>
      <c r="H51" s="21"/>
      <c r="I51" s="21"/>
      <c r="J51" s="21"/>
      <c r="K51" s="13"/>
      <c r="L51" s="13"/>
      <c r="M51" s="10"/>
      <c r="N51" s="10"/>
    </row>
    <row r="52" spans="1:14" ht="25.05" customHeight="1" x14ac:dyDescent="0.3">
      <c r="A52" s="22">
        <v>48</v>
      </c>
      <c r="B52" s="22"/>
      <c r="C52" s="22"/>
      <c r="D52" s="6"/>
      <c r="E52" s="6"/>
      <c r="F52" s="22"/>
      <c r="G52" s="22"/>
      <c r="H52" s="23"/>
      <c r="I52" s="23"/>
      <c r="J52" s="23"/>
      <c r="K52" s="22"/>
      <c r="L52" s="22"/>
      <c r="M52" s="6"/>
      <c r="N52" s="6"/>
    </row>
    <row r="53" spans="1:14" ht="25.05" customHeight="1" x14ac:dyDescent="0.3">
      <c r="A53" s="13">
        <v>49</v>
      </c>
      <c r="B53" s="13"/>
      <c r="C53" s="13"/>
      <c r="D53" s="10"/>
      <c r="E53" s="10"/>
      <c r="F53" s="13"/>
      <c r="G53" s="13"/>
      <c r="H53" s="21"/>
      <c r="I53" s="21"/>
      <c r="J53" s="21"/>
      <c r="K53" s="13"/>
      <c r="L53" s="13"/>
      <c r="M53" s="10"/>
      <c r="N53" s="10"/>
    </row>
    <row r="54" spans="1:14" ht="25.05" customHeight="1" x14ac:dyDescent="0.3">
      <c r="A54" s="22">
        <v>50</v>
      </c>
      <c r="B54" s="22"/>
      <c r="C54" s="22"/>
      <c r="D54" s="6"/>
      <c r="E54" s="6"/>
      <c r="F54" s="22"/>
      <c r="G54" s="22"/>
      <c r="H54" s="23"/>
      <c r="I54" s="23"/>
      <c r="J54" s="23"/>
      <c r="K54" s="22"/>
      <c r="L54" s="22"/>
      <c r="M54" s="6"/>
      <c r="N54" s="6"/>
    </row>
    <row r="55" spans="1:14" ht="25.05" customHeight="1" x14ac:dyDescent="0.3">
      <c r="A55" s="13">
        <v>51</v>
      </c>
      <c r="B55" s="13"/>
      <c r="C55" s="13"/>
      <c r="D55" s="10"/>
      <c r="E55" s="10"/>
      <c r="F55" s="13"/>
      <c r="G55" s="13"/>
      <c r="H55" s="21"/>
      <c r="I55" s="21"/>
      <c r="J55" s="21"/>
      <c r="K55" s="13"/>
      <c r="L55" s="13"/>
      <c r="M55" s="10"/>
      <c r="N55" s="10"/>
    </row>
    <row r="56" spans="1:14" ht="25.05" customHeight="1" x14ac:dyDescent="0.3">
      <c r="A56" s="22">
        <v>52</v>
      </c>
      <c r="B56" s="22"/>
      <c r="C56" s="22"/>
      <c r="D56" s="6"/>
      <c r="E56" s="6"/>
      <c r="F56" s="22"/>
      <c r="G56" s="22"/>
      <c r="H56" s="23"/>
      <c r="I56" s="23"/>
      <c r="J56" s="23"/>
      <c r="K56" s="22"/>
      <c r="L56" s="22"/>
      <c r="M56" s="6"/>
      <c r="N56" s="6"/>
    </row>
    <row r="57" spans="1:14" ht="25.05" customHeight="1" x14ac:dyDescent="0.3">
      <c r="A57" s="13">
        <v>53</v>
      </c>
      <c r="B57" s="13"/>
      <c r="C57" s="13"/>
      <c r="D57" s="10"/>
      <c r="E57" s="10"/>
      <c r="F57" s="13"/>
      <c r="G57" s="13"/>
      <c r="H57" s="21"/>
      <c r="I57" s="21"/>
      <c r="J57" s="21"/>
      <c r="K57" s="13"/>
      <c r="L57" s="13"/>
      <c r="M57" s="10"/>
      <c r="N57" s="10"/>
    </row>
    <row r="58" spans="1:14" ht="25.05" customHeight="1" x14ac:dyDescent="0.3">
      <c r="A58" s="22">
        <v>54</v>
      </c>
      <c r="B58" s="22"/>
      <c r="C58" s="22"/>
      <c r="D58" s="6"/>
      <c r="E58" s="6"/>
      <c r="F58" s="22"/>
      <c r="G58" s="22"/>
      <c r="H58" s="23"/>
      <c r="I58" s="23"/>
      <c r="J58" s="23"/>
      <c r="K58" s="22"/>
      <c r="L58" s="22"/>
      <c r="M58" s="6"/>
      <c r="N58" s="6"/>
    </row>
    <row r="59" spans="1:14" ht="25.05" customHeight="1" x14ac:dyDescent="0.3">
      <c r="A59" s="13">
        <v>55</v>
      </c>
      <c r="B59" s="13"/>
      <c r="C59" s="13"/>
      <c r="D59" s="10"/>
      <c r="E59" s="10"/>
      <c r="F59" s="13"/>
      <c r="G59" s="13"/>
      <c r="H59" s="21"/>
      <c r="I59" s="21"/>
      <c r="J59" s="21"/>
      <c r="K59" s="13"/>
      <c r="L59" s="13"/>
      <c r="M59" s="10"/>
      <c r="N59" s="10"/>
    </row>
    <row r="60" spans="1:14" ht="25.05" customHeight="1" x14ac:dyDescent="0.3">
      <c r="A60" s="22">
        <v>56</v>
      </c>
      <c r="B60" s="22"/>
      <c r="C60" s="22"/>
      <c r="D60" s="6"/>
      <c r="E60" s="6"/>
      <c r="F60" s="22"/>
      <c r="G60" s="22"/>
      <c r="H60" s="23"/>
      <c r="I60" s="23"/>
      <c r="J60" s="23"/>
      <c r="K60" s="22"/>
      <c r="L60" s="22"/>
      <c r="M60" s="6"/>
      <c r="N60" s="6"/>
    </row>
    <row r="61" spans="1:14" ht="25.05" customHeight="1" x14ac:dyDescent="0.3">
      <c r="A61" s="13">
        <v>57</v>
      </c>
      <c r="B61" s="13"/>
      <c r="C61" s="13"/>
      <c r="D61" s="10"/>
      <c r="E61" s="10"/>
      <c r="F61" s="13"/>
      <c r="G61" s="13"/>
      <c r="H61" s="21"/>
      <c r="I61" s="21"/>
      <c r="J61" s="21"/>
      <c r="K61" s="13"/>
      <c r="L61" s="13"/>
      <c r="M61" s="10"/>
      <c r="N61" s="10"/>
    </row>
    <row r="62" spans="1:14" ht="25.05" customHeight="1" x14ac:dyDescent="0.3">
      <c r="A62" s="22">
        <v>58</v>
      </c>
      <c r="B62" s="22"/>
      <c r="C62" s="22"/>
      <c r="D62" s="6"/>
      <c r="E62" s="6"/>
      <c r="F62" s="22"/>
      <c r="G62" s="22"/>
      <c r="H62" s="23"/>
      <c r="I62" s="23"/>
      <c r="J62" s="23"/>
      <c r="K62" s="22"/>
      <c r="L62" s="22"/>
      <c r="M62" s="6"/>
      <c r="N62" s="6"/>
    </row>
    <row r="63" spans="1:14" ht="25.05" customHeight="1" x14ac:dyDescent="0.3">
      <c r="A63" s="13">
        <v>59</v>
      </c>
      <c r="B63" s="13"/>
      <c r="C63" s="13"/>
      <c r="D63" s="10"/>
      <c r="E63" s="10"/>
      <c r="F63" s="13"/>
      <c r="G63" s="13"/>
      <c r="H63" s="21"/>
      <c r="I63" s="21"/>
      <c r="J63" s="21"/>
      <c r="K63" s="13"/>
      <c r="L63" s="13"/>
      <c r="M63" s="10"/>
      <c r="N63" s="10"/>
    </row>
    <row r="64" spans="1:14" ht="25.05" customHeight="1" x14ac:dyDescent="0.3">
      <c r="A64" s="22">
        <v>60</v>
      </c>
      <c r="B64" s="22"/>
      <c r="C64" s="22"/>
      <c r="D64" s="6"/>
      <c r="E64" s="6"/>
      <c r="F64" s="22"/>
      <c r="G64" s="22"/>
      <c r="H64" s="23"/>
      <c r="I64" s="23"/>
      <c r="J64" s="23"/>
      <c r="K64" s="22"/>
      <c r="L64" s="22"/>
      <c r="M64" s="6"/>
      <c r="N64" s="6"/>
    </row>
    <row r="67" spans="1:6" ht="30" customHeight="1" x14ac:dyDescent="0.3">
      <c r="A67" s="49" t="s">
        <v>431</v>
      </c>
      <c r="B67" s="49"/>
      <c r="C67" s="49"/>
      <c r="D67" s="49"/>
      <c r="E67" s="49"/>
      <c r="F67" s="49"/>
    </row>
    <row r="68" spans="1:6" ht="28.05" customHeight="1" x14ac:dyDescent="0.3">
      <c r="A68" s="50" t="s">
        <v>432</v>
      </c>
      <c r="B68" s="50"/>
      <c r="C68" s="50"/>
      <c r="D68" s="51">
        <f>COUNTIF(K5:K64,"Pendiente")</f>
        <v>0</v>
      </c>
      <c r="E68" s="51"/>
      <c r="F68" s="51"/>
    </row>
    <row r="69" spans="1:6" ht="28.05" customHeight="1" x14ac:dyDescent="0.3">
      <c r="A69" s="52" t="s">
        <v>433</v>
      </c>
      <c r="B69" s="52"/>
      <c r="C69" s="52"/>
      <c r="D69" s="53">
        <f>COUNTIF(K5:K64,"En Gestión")</f>
        <v>0</v>
      </c>
      <c r="E69" s="53"/>
      <c r="F69" s="53"/>
    </row>
    <row r="70" spans="1:6" ht="28.05" customHeight="1" x14ac:dyDescent="0.3">
      <c r="A70" s="41" t="s">
        <v>434</v>
      </c>
      <c r="B70" s="41"/>
      <c r="C70" s="41"/>
      <c r="D70" s="54">
        <f>COUNTIF(K5:K64,"Levantada")</f>
        <v>0</v>
      </c>
      <c r="E70" s="54"/>
      <c r="F70" s="54"/>
    </row>
    <row r="71" spans="1:6" ht="28.05" customHeight="1" x14ac:dyDescent="0.3">
      <c r="A71" s="55" t="s">
        <v>435</v>
      </c>
      <c r="B71" s="55"/>
      <c r="C71" s="55"/>
      <c r="D71" s="56">
        <f>COUNTIF(K5:K64,"Vencida")</f>
        <v>0</v>
      </c>
      <c r="E71" s="56"/>
      <c r="F71" s="56"/>
    </row>
    <row r="72" spans="1:6" ht="28.05" customHeight="1" x14ac:dyDescent="0.3">
      <c r="A72" s="57" t="s">
        <v>436</v>
      </c>
      <c r="B72" s="57"/>
      <c r="C72" s="57"/>
      <c r="D72" s="58">
        <f>COUNTA(K5:K64)-COUNTBLANK(K5:K64)</f>
        <v>-60</v>
      </c>
      <c r="E72" s="58"/>
      <c r="F72" s="58"/>
    </row>
    <row r="74" spans="1:6" ht="15.6" x14ac:dyDescent="0.3">
      <c r="A74" s="47" t="s">
        <v>437</v>
      </c>
      <c r="B74" s="47"/>
      <c r="C74" s="47"/>
      <c r="D74" s="47"/>
      <c r="E74" s="47"/>
      <c r="F74" s="47"/>
    </row>
    <row r="75" spans="1:6" ht="18" x14ac:dyDescent="0.3">
      <c r="A75" s="59" t="s">
        <v>438</v>
      </c>
      <c r="B75" s="59"/>
      <c r="C75" s="59"/>
      <c r="D75" s="60">
        <f>COUNTIF(L5:L64,"Bajo")</f>
        <v>0</v>
      </c>
      <c r="E75" s="60"/>
      <c r="F75" s="60"/>
    </row>
    <row r="76" spans="1:6" ht="18" x14ac:dyDescent="0.3">
      <c r="A76" s="61" t="s">
        <v>439</v>
      </c>
      <c r="B76" s="61"/>
      <c r="C76" s="61"/>
      <c r="D76" s="62">
        <f>COUNTIF(L5:L64,"Medio")</f>
        <v>0</v>
      </c>
      <c r="E76" s="62"/>
      <c r="F76" s="62"/>
    </row>
    <row r="77" spans="1:6" ht="18" x14ac:dyDescent="0.3">
      <c r="A77" s="63" t="s">
        <v>440</v>
      </c>
      <c r="B77" s="63"/>
      <c r="C77" s="63"/>
      <c r="D77" s="64">
        <f>COUNTIF(L5:L64,"Alto")</f>
        <v>0</v>
      </c>
      <c r="E77" s="64"/>
      <c r="F77" s="64"/>
    </row>
    <row r="78" spans="1:6" ht="18" x14ac:dyDescent="0.3">
      <c r="A78" s="55" t="s">
        <v>441</v>
      </c>
      <c r="B78" s="55"/>
      <c r="C78" s="55"/>
      <c r="D78" s="56">
        <f>COUNTIF(L5:L64,"Crítico")</f>
        <v>0</v>
      </c>
      <c r="E78" s="56"/>
      <c r="F78" s="56"/>
    </row>
  </sheetData>
  <mergeCells count="23">
    <mergeCell ref="A76:C76"/>
    <mergeCell ref="D76:F76"/>
    <mergeCell ref="A77:C77"/>
    <mergeCell ref="D77:F77"/>
    <mergeCell ref="A78:C78"/>
    <mergeCell ref="D78:F78"/>
    <mergeCell ref="A72:C72"/>
    <mergeCell ref="D72:F72"/>
    <mergeCell ref="A74:F74"/>
    <mergeCell ref="A75:C75"/>
    <mergeCell ref="D75:F75"/>
    <mergeCell ref="A69:C69"/>
    <mergeCell ref="D69:F69"/>
    <mergeCell ref="A70:C70"/>
    <mergeCell ref="D70:F70"/>
    <mergeCell ref="A71:C71"/>
    <mergeCell ref="D71:F71"/>
    <mergeCell ref="A1:N1"/>
    <mergeCell ref="A2:N2"/>
    <mergeCell ref="A3:N3"/>
    <mergeCell ref="A67:F67"/>
    <mergeCell ref="A68:C68"/>
    <mergeCell ref="D68:F68"/>
  </mergeCells>
  <conditionalFormatting sqref="K5:K64">
    <cfRule type="containsText" dxfId="99" priority="1" operator="containsText" text="Levantada">
      <formula>NOT(ISERROR(SEARCH("Levantada",K5)))</formula>
    </cfRule>
    <cfRule type="containsText" dxfId="98" priority="2" operator="containsText" text="Pendiente">
      <formula>NOT(ISERROR(SEARCH("Pendiente",K5)))</formula>
    </cfRule>
    <cfRule type="containsText" dxfId="97" priority="3" operator="containsText" text="Vencida">
      <formula>NOT(ISERROR(SEARCH("Vencida",K5)))</formula>
    </cfRule>
    <cfRule type="containsText" dxfId="96" priority="4" operator="containsText" text="En Gestión">
      <formula>NOT(ISERROR(SEARCH("En Gestión",K5)))</formula>
    </cfRule>
  </conditionalFormatting>
  <conditionalFormatting sqref="L5:L64">
    <cfRule type="containsText" dxfId="95" priority="5" operator="containsText" text="Crítico">
      <formula>NOT(ISERROR(SEARCH("Crítico",L5)))</formula>
    </cfRule>
    <cfRule type="containsText" dxfId="94" priority="6" operator="containsText" text="Alto">
      <formula>NOT(ISERROR(SEARCH("Alto",L5)))</formula>
    </cfRule>
    <cfRule type="containsText" dxfId="93" priority="7" operator="containsText" text="Medio">
      <formula>NOT(ISERROR(SEARCH("Medio",L5)))</formula>
    </cfRule>
    <cfRule type="containsText" dxfId="92" priority="8" operator="containsText" text="Bajo">
      <formula>NOT(ISERROR(SEARCH("Bajo",L5)))</formula>
    </cfRule>
  </conditionalFormatting>
  <dataValidations count="4">
    <dataValidation type="list" allowBlank="1" showInputMessage="1" showErrorMessage="1" sqref="B5:B64" xr:uid="{00000000-0002-0000-0400-000000000000}">
      <formula1>"OE-01.1,OE-01.2,OE-01.3,OE-01.4,OE-02.1,OE-02.2,OE-02.3,OE-02.4,OE-02.5,OE-03.1,OE-04.1,OE-05.1,OE-05.2,OE-05.3,OE-06.1,OE-07.1,OE-07.2,OE-07.3"</formula1>
    </dataValidation>
    <dataValidation type="list" allowBlank="1" showInputMessage="1" showErrorMessage="1" sqref="F5:F64" xr:uid="{00000000-0002-0000-0400-000001000000}">
      <formula1>"Información,Recurso,Equipos,Diseño,Materiales,Aprobación,Legal,Financiero,Otro"</formula1>
    </dataValidation>
    <dataValidation type="list" allowBlank="1" showInputMessage="1" showErrorMessage="1" sqref="K5:K64" xr:uid="{00000000-0002-0000-0400-000002000000}">
      <formula1>"Pendiente,En Gestión,Levantada,Vencida"</formula1>
    </dataValidation>
    <dataValidation type="list" allowBlank="1" showInputMessage="1" showErrorMessage="1" sqref="L5:L64" xr:uid="{00000000-0002-0000-0400-000003000000}">
      <formula1>"Bajo,Medio,Alto,Crítico"</formula1>
    </dataValidation>
  </dataValidation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BE75"/>
  <sheetViews>
    <sheetView showGridLines="0" zoomScale="70" zoomScaleNormal="70" workbookViewId="0">
      <pane xSplit="5" ySplit="4" topLeftCell="F10" activePane="bottomRight" state="frozen"/>
      <selection pane="topRight" activeCell="F1" sqref="F1"/>
      <selection pane="bottomLeft" activeCell="A5" sqref="A5"/>
      <selection pane="bottomRight" activeCell="BB4" sqref="BB4"/>
    </sheetView>
  </sheetViews>
  <sheetFormatPr baseColWidth="10" defaultColWidth="8.88671875" defaultRowHeight="14.4" x14ac:dyDescent="0.3"/>
  <cols>
    <col min="1" max="1" width="5.6640625" customWidth="1"/>
    <col min="2" max="2" width="8.6640625" customWidth="1"/>
    <col min="3" max="3" width="45.6640625" customWidth="1"/>
    <col min="4" max="4" width="35.6640625" customWidth="1"/>
    <col min="5" max="5" width="18.6640625" customWidth="1"/>
    <col min="6" max="57" width="4.33203125" customWidth="1"/>
  </cols>
  <sheetData>
    <row r="1" spans="1:57" ht="34.950000000000003" customHeight="1" x14ac:dyDescent="0.3">
      <c r="A1" s="31" t="s">
        <v>442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</row>
    <row r="2" spans="1:57" ht="22.05" customHeight="1" x14ac:dyDescent="0.3">
      <c r="A2" s="32" t="s">
        <v>17</v>
      </c>
      <c r="B2" s="32"/>
      <c r="C2" s="32"/>
      <c r="D2" s="32"/>
      <c r="E2" s="32"/>
      <c r="F2" s="33" t="s">
        <v>18</v>
      </c>
      <c r="G2" s="33"/>
      <c r="H2" s="33"/>
      <c r="I2" s="33"/>
      <c r="J2" s="33" t="s">
        <v>19</v>
      </c>
      <c r="K2" s="33"/>
      <c r="L2" s="33"/>
      <c r="M2" s="33"/>
      <c r="N2" s="33" t="s">
        <v>20</v>
      </c>
      <c r="O2" s="33"/>
      <c r="P2" s="33"/>
      <c r="Q2" s="33"/>
      <c r="R2" s="33"/>
      <c r="S2" s="33" t="s">
        <v>21</v>
      </c>
      <c r="T2" s="33"/>
      <c r="U2" s="33"/>
      <c r="V2" s="33"/>
      <c r="W2" s="33" t="s">
        <v>22</v>
      </c>
      <c r="X2" s="33"/>
      <c r="Y2" s="33"/>
      <c r="Z2" s="33"/>
      <c r="AA2" s="33" t="s">
        <v>23</v>
      </c>
      <c r="AB2" s="33"/>
      <c r="AC2" s="33"/>
      <c r="AD2" s="33"/>
      <c r="AE2" s="33"/>
      <c r="AF2" s="33" t="s">
        <v>24</v>
      </c>
      <c r="AG2" s="33"/>
      <c r="AH2" s="33"/>
      <c r="AI2" s="33"/>
      <c r="AJ2" s="33" t="s">
        <v>25</v>
      </c>
      <c r="AK2" s="33"/>
      <c r="AL2" s="33"/>
      <c r="AM2" s="33"/>
      <c r="AN2" s="33"/>
      <c r="AO2" s="33" t="s">
        <v>26</v>
      </c>
      <c r="AP2" s="33"/>
      <c r="AQ2" s="33"/>
      <c r="AR2" s="33"/>
      <c r="AS2" s="33" t="s">
        <v>27</v>
      </c>
      <c r="AT2" s="33"/>
      <c r="AU2" s="33"/>
      <c r="AV2" s="33"/>
      <c r="AW2" s="33" t="s">
        <v>28</v>
      </c>
      <c r="AX2" s="33"/>
      <c r="AY2" s="33"/>
      <c r="AZ2" s="33"/>
      <c r="BA2" s="33"/>
      <c r="BB2" s="33" t="s">
        <v>29</v>
      </c>
      <c r="BC2" s="33"/>
      <c r="BD2" s="33"/>
      <c r="BE2" s="33"/>
    </row>
    <row r="3" spans="1:57" ht="30" customHeight="1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49</v>
      </c>
      <c r="U3" s="2" t="s">
        <v>50</v>
      </c>
      <c r="V3" s="2" t="s">
        <v>51</v>
      </c>
      <c r="W3" s="2" t="s">
        <v>52</v>
      </c>
      <c r="X3" s="2" t="s">
        <v>53</v>
      </c>
      <c r="Y3" s="2" t="s">
        <v>54</v>
      </c>
      <c r="Z3" s="2" t="s">
        <v>55</v>
      </c>
      <c r="AA3" s="2" t="s">
        <v>56</v>
      </c>
      <c r="AB3" s="2" t="s">
        <v>57</v>
      </c>
      <c r="AC3" s="2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2" t="s">
        <v>63</v>
      </c>
      <c r="AI3" s="2" t="s">
        <v>64</v>
      </c>
      <c r="AJ3" s="2" t="s">
        <v>65</v>
      </c>
      <c r="AK3" s="2" t="s">
        <v>66</v>
      </c>
      <c r="AL3" s="2" t="s">
        <v>67</v>
      </c>
      <c r="AM3" s="2" t="s">
        <v>68</v>
      </c>
      <c r="AN3" s="2" t="s">
        <v>69</v>
      </c>
      <c r="AO3" s="2" t="s">
        <v>70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75</v>
      </c>
      <c r="AU3" s="2" t="s">
        <v>76</v>
      </c>
      <c r="AV3" s="2" t="s">
        <v>77</v>
      </c>
      <c r="AW3" s="2" t="s">
        <v>78</v>
      </c>
      <c r="AX3" s="2" t="s">
        <v>79</v>
      </c>
      <c r="AY3" s="2" t="s">
        <v>80</v>
      </c>
      <c r="AZ3" s="2" t="s">
        <v>81</v>
      </c>
      <c r="BA3" s="2" t="s">
        <v>82</v>
      </c>
      <c r="BB3" s="2" t="s">
        <v>83</v>
      </c>
      <c r="BC3" s="2" t="s">
        <v>84</v>
      </c>
      <c r="BD3" s="2" t="s">
        <v>85</v>
      </c>
      <c r="BE3" s="2" t="s">
        <v>86</v>
      </c>
    </row>
    <row r="4" spans="1:57" ht="34.950000000000003" customHeight="1" x14ac:dyDescent="0.3">
      <c r="A4" s="1"/>
      <c r="B4" s="1"/>
      <c r="C4" s="1"/>
      <c r="D4" s="1"/>
      <c r="E4" s="1"/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92</v>
      </c>
      <c r="L4" s="2" t="s">
        <v>93</v>
      </c>
      <c r="M4" s="2" t="s">
        <v>94</v>
      </c>
      <c r="N4" s="2" t="s">
        <v>95</v>
      </c>
      <c r="O4" s="2" t="s">
        <v>96</v>
      </c>
      <c r="P4" s="2" t="s">
        <v>97</v>
      </c>
      <c r="Q4" s="2" t="s">
        <v>98</v>
      </c>
      <c r="R4" s="2" t="s">
        <v>99</v>
      </c>
      <c r="S4" s="2" t="s">
        <v>100</v>
      </c>
      <c r="T4" s="2" t="s">
        <v>101</v>
      </c>
      <c r="U4" s="2" t="s">
        <v>102</v>
      </c>
      <c r="V4" s="2" t="s">
        <v>103</v>
      </c>
      <c r="W4" s="2" t="s">
        <v>104</v>
      </c>
      <c r="X4" s="2" t="s">
        <v>105</v>
      </c>
      <c r="Y4" s="2" t="s">
        <v>106</v>
      </c>
      <c r="Z4" s="2" t="s">
        <v>107</v>
      </c>
      <c r="AA4" s="2" t="s">
        <v>108</v>
      </c>
      <c r="AB4" s="2" t="s">
        <v>109</v>
      </c>
      <c r="AC4" s="2" t="s">
        <v>110</v>
      </c>
      <c r="AD4" s="2" t="s">
        <v>111</v>
      </c>
      <c r="AE4" s="2" t="s">
        <v>112</v>
      </c>
      <c r="AF4" s="2" t="s">
        <v>113</v>
      </c>
      <c r="AG4" s="2" t="s">
        <v>114</v>
      </c>
      <c r="AH4" s="2" t="s">
        <v>115</v>
      </c>
      <c r="AI4" s="2" t="s">
        <v>116</v>
      </c>
      <c r="AJ4" s="2" t="s">
        <v>117</v>
      </c>
      <c r="AK4" s="2" t="s">
        <v>118</v>
      </c>
      <c r="AL4" s="2" t="s">
        <v>119</v>
      </c>
      <c r="AM4" s="2" t="s">
        <v>120</v>
      </c>
      <c r="AN4" s="2" t="s">
        <v>121</v>
      </c>
      <c r="AO4" s="2" t="s">
        <v>122</v>
      </c>
      <c r="AP4" s="2" t="s">
        <v>123</v>
      </c>
      <c r="AQ4" s="2" t="s">
        <v>124</v>
      </c>
      <c r="AR4" s="2" t="s">
        <v>125</v>
      </c>
      <c r="AS4" s="2" t="s">
        <v>126</v>
      </c>
      <c r="AT4" s="2" t="s">
        <v>127</v>
      </c>
      <c r="AU4" s="2" t="s">
        <v>128</v>
      </c>
      <c r="AV4" s="2" t="s">
        <v>129</v>
      </c>
      <c r="AW4" s="2" t="s">
        <v>130</v>
      </c>
      <c r="AX4" s="2" t="s">
        <v>131</v>
      </c>
      <c r="AY4" s="2" t="s">
        <v>132</v>
      </c>
      <c r="AZ4" s="2" t="s">
        <v>133</v>
      </c>
      <c r="BA4" s="2" t="s">
        <v>134</v>
      </c>
      <c r="BB4" s="2" t="s">
        <v>135</v>
      </c>
      <c r="BC4" s="2" t="s">
        <v>136</v>
      </c>
      <c r="BD4" s="2" t="s">
        <v>137</v>
      </c>
      <c r="BE4" s="2" t="s">
        <v>138</v>
      </c>
    </row>
    <row r="5" spans="1:57" ht="28.05" customHeight="1" x14ac:dyDescent="0.3">
      <c r="A5" s="34" t="s">
        <v>443</v>
      </c>
      <c r="B5" s="34"/>
      <c r="C5" s="34"/>
      <c r="D5" s="34"/>
      <c r="E5" s="3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 ht="25.05" customHeight="1" x14ac:dyDescent="0.3">
      <c r="A6" s="35" t="s">
        <v>444</v>
      </c>
      <c r="B6" s="35"/>
      <c r="C6" s="35"/>
      <c r="D6" s="36" t="s">
        <v>445</v>
      </c>
      <c r="E6" s="3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 ht="22.05" customHeight="1" x14ac:dyDescent="0.3">
      <c r="A7" s="5">
        <v>1</v>
      </c>
      <c r="B7" s="5" t="s">
        <v>142</v>
      </c>
      <c r="C7" s="6" t="s">
        <v>446</v>
      </c>
      <c r="D7" s="6" t="s">
        <v>447</v>
      </c>
      <c r="E7" s="5" t="s">
        <v>448</v>
      </c>
      <c r="F7" s="8"/>
      <c r="G7" s="8"/>
      <c r="H7" s="8"/>
      <c r="I7" s="8"/>
      <c r="J7" s="8"/>
      <c r="K7" s="8"/>
      <c r="L7" s="8"/>
      <c r="M7" s="8"/>
      <c r="N7" s="7" t="s">
        <v>146</v>
      </c>
      <c r="O7" s="7" t="s">
        <v>146</v>
      </c>
      <c r="P7" s="7" t="s">
        <v>146</v>
      </c>
      <c r="Q7" s="7" t="s">
        <v>146</v>
      </c>
      <c r="R7" s="7" t="s">
        <v>146</v>
      </c>
      <c r="S7" s="7" t="s">
        <v>146</v>
      </c>
      <c r="T7" s="7" t="s">
        <v>146</v>
      </c>
      <c r="U7" s="7" t="s">
        <v>146</v>
      </c>
      <c r="V7" s="7" t="s">
        <v>146</v>
      </c>
      <c r="W7" s="8"/>
      <c r="X7" s="8"/>
      <c r="Y7" s="8"/>
      <c r="Z7" s="8"/>
      <c r="AA7" s="8"/>
      <c r="AB7" s="8"/>
      <c r="AC7" s="8"/>
      <c r="AD7" s="8"/>
      <c r="AE7" s="8"/>
      <c r="AF7" s="7" t="s">
        <v>146</v>
      </c>
      <c r="AG7" s="7" t="s">
        <v>146</v>
      </c>
      <c r="AH7" s="7" t="s">
        <v>146</v>
      </c>
      <c r="AI7" s="7" t="s">
        <v>146</v>
      </c>
      <c r="AJ7" s="7" t="s">
        <v>146</v>
      </c>
      <c r="AK7" s="7" t="s">
        <v>146</v>
      </c>
      <c r="AL7" s="7" t="s">
        <v>146</v>
      </c>
      <c r="AM7" s="7" t="s">
        <v>146</v>
      </c>
      <c r="AN7" s="7" t="s">
        <v>146</v>
      </c>
      <c r="AO7" s="8"/>
      <c r="AP7" s="8"/>
      <c r="AQ7" s="8"/>
      <c r="AR7" s="8"/>
      <c r="AS7" s="8"/>
      <c r="AT7" s="8"/>
      <c r="AU7" s="8"/>
      <c r="AV7" s="8"/>
      <c r="AW7" s="7" t="s">
        <v>146</v>
      </c>
      <c r="AX7" s="7" t="s">
        <v>146</v>
      </c>
      <c r="AY7" s="7" t="s">
        <v>146</v>
      </c>
      <c r="AZ7" s="7" t="s">
        <v>146</v>
      </c>
      <c r="BA7" s="7" t="s">
        <v>146</v>
      </c>
      <c r="BB7" s="7" t="s">
        <v>146</v>
      </c>
      <c r="BC7" s="7" t="s">
        <v>146</v>
      </c>
      <c r="BD7" s="7" t="s">
        <v>146</v>
      </c>
      <c r="BE7" s="7" t="s">
        <v>146</v>
      </c>
    </row>
    <row r="8" spans="1:57" ht="22.05" customHeight="1" x14ac:dyDescent="0.3">
      <c r="A8" s="9">
        <v>2</v>
      </c>
      <c r="B8" s="9" t="s">
        <v>147</v>
      </c>
      <c r="C8" s="10" t="s">
        <v>449</v>
      </c>
      <c r="D8" s="10" t="s">
        <v>450</v>
      </c>
      <c r="E8" s="9" t="s">
        <v>448</v>
      </c>
      <c r="F8" s="11"/>
      <c r="G8" s="11"/>
      <c r="H8" s="11"/>
      <c r="I8" s="11"/>
      <c r="J8" s="11"/>
      <c r="K8" s="11"/>
      <c r="L8" s="11"/>
      <c r="M8" s="11"/>
      <c r="N8" s="7" t="s">
        <v>146</v>
      </c>
      <c r="O8" s="7" t="s">
        <v>146</v>
      </c>
      <c r="P8" s="7" t="s">
        <v>146</v>
      </c>
      <c r="Q8" s="7" t="s">
        <v>146</v>
      </c>
      <c r="R8" s="7" t="s">
        <v>146</v>
      </c>
      <c r="S8" s="7" t="s">
        <v>146</v>
      </c>
      <c r="T8" s="7" t="s">
        <v>146</v>
      </c>
      <c r="U8" s="7" t="s">
        <v>146</v>
      </c>
      <c r="V8" s="7" t="s">
        <v>146</v>
      </c>
      <c r="W8" s="11"/>
      <c r="X8" s="11"/>
      <c r="Y8" s="11"/>
      <c r="Z8" s="11"/>
      <c r="AA8" s="11"/>
      <c r="AB8" s="11"/>
      <c r="AC8" s="11"/>
      <c r="AD8" s="11"/>
      <c r="AE8" s="11"/>
      <c r="AF8" s="7" t="s">
        <v>146</v>
      </c>
      <c r="AG8" s="7" t="s">
        <v>146</v>
      </c>
      <c r="AH8" s="7" t="s">
        <v>146</v>
      </c>
      <c r="AI8" s="7" t="s">
        <v>146</v>
      </c>
      <c r="AJ8" s="7" t="s">
        <v>146</v>
      </c>
      <c r="AK8" s="7" t="s">
        <v>146</v>
      </c>
      <c r="AL8" s="7" t="s">
        <v>146</v>
      </c>
      <c r="AM8" s="7" t="s">
        <v>146</v>
      </c>
      <c r="AN8" s="7" t="s">
        <v>146</v>
      </c>
      <c r="AO8" s="11"/>
      <c r="AP8" s="11"/>
      <c r="AQ8" s="11"/>
      <c r="AR8" s="11"/>
      <c r="AS8" s="11"/>
      <c r="AT8" s="11"/>
      <c r="AU8" s="11"/>
      <c r="AV8" s="11"/>
      <c r="AW8" s="7" t="s">
        <v>146</v>
      </c>
      <c r="AX8" s="7" t="s">
        <v>146</v>
      </c>
      <c r="AY8" s="7" t="s">
        <v>146</v>
      </c>
      <c r="AZ8" s="7" t="s">
        <v>146</v>
      </c>
      <c r="BA8" s="7" t="s">
        <v>146</v>
      </c>
      <c r="BB8" s="7" t="s">
        <v>146</v>
      </c>
      <c r="BC8" s="7" t="s">
        <v>146</v>
      </c>
      <c r="BD8" s="7" t="s">
        <v>146</v>
      </c>
      <c r="BE8" s="7" t="s">
        <v>146</v>
      </c>
    </row>
    <row r="9" spans="1:57" ht="22.05" customHeight="1" x14ac:dyDescent="0.3">
      <c r="A9" s="5">
        <v>3</v>
      </c>
      <c r="B9" s="5" t="s">
        <v>151</v>
      </c>
      <c r="C9" s="6" t="s">
        <v>451</v>
      </c>
      <c r="D9" s="6" t="s">
        <v>452</v>
      </c>
      <c r="E9" s="5" t="s">
        <v>448</v>
      </c>
      <c r="F9" s="8"/>
      <c r="G9" s="8"/>
      <c r="H9" s="8"/>
      <c r="I9" s="8"/>
      <c r="J9" s="8"/>
      <c r="K9" s="8"/>
      <c r="L9" s="8"/>
      <c r="M9" s="8"/>
      <c r="N9" s="7" t="s">
        <v>146</v>
      </c>
      <c r="O9" s="7" t="s">
        <v>146</v>
      </c>
      <c r="P9" s="7" t="s">
        <v>146</v>
      </c>
      <c r="Q9" s="7" t="s">
        <v>146</v>
      </c>
      <c r="R9" s="7" t="s">
        <v>146</v>
      </c>
      <c r="S9" s="7" t="s">
        <v>146</v>
      </c>
      <c r="T9" s="7" t="s">
        <v>146</v>
      </c>
      <c r="U9" s="7" t="s">
        <v>146</v>
      </c>
      <c r="V9" s="7" t="s">
        <v>146</v>
      </c>
      <c r="W9" s="8"/>
      <c r="X9" s="8"/>
      <c r="Y9" s="8"/>
      <c r="Z9" s="8"/>
      <c r="AA9" s="8"/>
      <c r="AB9" s="8"/>
      <c r="AC9" s="8"/>
      <c r="AD9" s="8"/>
      <c r="AE9" s="8"/>
      <c r="AF9" s="7" t="s">
        <v>146</v>
      </c>
      <c r="AG9" s="7" t="s">
        <v>146</v>
      </c>
      <c r="AH9" s="7" t="s">
        <v>146</v>
      </c>
      <c r="AI9" s="7" t="s">
        <v>146</v>
      </c>
      <c r="AJ9" s="7" t="s">
        <v>146</v>
      </c>
      <c r="AK9" s="7" t="s">
        <v>146</v>
      </c>
      <c r="AL9" s="7" t="s">
        <v>146</v>
      </c>
      <c r="AM9" s="7" t="s">
        <v>146</v>
      </c>
      <c r="AN9" s="7" t="s">
        <v>146</v>
      </c>
      <c r="AO9" s="8"/>
      <c r="AP9" s="8"/>
      <c r="AQ9" s="8"/>
      <c r="AR9" s="8"/>
      <c r="AS9" s="8"/>
      <c r="AT9" s="8"/>
      <c r="AU9" s="8"/>
      <c r="AV9" s="8"/>
      <c r="AW9" s="7" t="s">
        <v>146</v>
      </c>
      <c r="AX9" s="7" t="s">
        <v>146</v>
      </c>
      <c r="AY9" s="7" t="s">
        <v>146</v>
      </c>
      <c r="AZ9" s="7" t="s">
        <v>146</v>
      </c>
      <c r="BA9" s="7" t="s">
        <v>146</v>
      </c>
      <c r="BB9" s="7" t="s">
        <v>146</v>
      </c>
      <c r="BC9" s="7" t="s">
        <v>146</v>
      </c>
      <c r="BD9" s="7" t="s">
        <v>146</v>
      </c>
      <c r="BE9" s="7" t="s">
        <v>146</v>
      </c>
    </row>
    <row r="10" spans="1:57" ht="22.05" customHeight="1" x14ac:dyDescent="0.3">
      <c r="A10" s="9">
        <v>4</v>
      </c>
      <c r="B10" s="9" t="s">
        <v>154</v>
      </c>
      <c r="C10" s="10" t="s">
        <v>453</v>
      </c>
      <c r="D10" s="10" t="s">
        <v>454</v>
      </c>
      <c r="E10" s="9" t="s">
        <v>448</v>
      </c>
      <c r="F10" s="11"/>
      <c r="G10" s="11"/>
      <c r="H10" s="11"/>
      <c r="I10" s="11"/>
      <c r="J10" s="11"/>
      <c r="K10" s="11"/>
      <c r="L10" s="11"/>
      <c r="M10" s="11"/>
      <c r="N10" s="7" t="s">
        <v>146</v>
      </c>
      <c r="O10" s="7" t="s">
        <v>146</v>
      </c>
      <c r="P10" s="7" t="s">
        <v>146</v>
      </c>
      <c r="Q10" s="7" t="s">
        <v>146</v>
      </c>
      <c r="R10" s="7" t="s">
        <v>146</v>
      </c>
      <c r="S10" s="7" t="s">
        <v>146</v>
      </c>
      <c r="T10" s="7" t="s">
        <v>146</v>
      </c>
      <c r="U10" s="7" t="s">
        <v>146</v>
      </c>
      <c r="V10" s="7" t="s">
        <v>146</v>
      </c>
      <c r="W10" s="11"/>
      <c r="X10" s="11"/>
      <c r="Y10" s="11"/>
      <c r="Z10" s="11"/>
      <c r="AA10" s="11"/>
      <c r="AB10" s="11"/>
      <c r="AC10" s="11"/>
      <c r="AD10" s="11"/>
      <c r="AE10" s="11"/>
      <c r="AF10" s="7" t="s">
        <v>146</v>
      </c>
      <c r="AG10" s="7" t="s">
        <v>146</v>
      </c>
      <c r="AH10" s="7" t="s">
        <v>146</v>
      </c>
      <c r="AI10" s="7" t="s">
        <v>146</v>
      </c>
      <c r="AJ10" s="7" t="s">
        <v>146</v>
      </c>
      <c r="AK10" s="7" t="s">
        <v>146</v>
      </c>
      <c r="AL10" s="7" t="s">
        <v>146</v>
      </c>
      <c r="AM10" s="7" t="s">
        <v>146</v>
      </c>
      <c r="AN10" s="7" t="s">
        <v>146</v>
      </c>
      <c r="AO10" s="11"/>
      <c r="AP10" s="11"/>
      <c r="AQ10" s="11"/>
      <c r="AR10" s="11"/>
      <c r="AS10" s="11"/>
      <c r="AT10" s="11"/>
      <c r="AU10" s="11"/>
      <c r="AV10" s="11"/>
      <c r="AW10" s="7" t="s">
        <v>146</v>
      </c>
      <c r="AX10" s="7" t="s">
        <v>146</v>
      </c>
      <c r="AY10" s="7" t="s">
        <v>146</v>
      </c>
      <c r="AZ10" s="7" t="s">
        <v>146</v>
      </c>
      <c r="BA10" s="7" t="s">
        <v>146</v>
      </c>
      <c r="BB10" s="7" t="s">
        <v>146</v>
      </c>
      <c r="BC10" s="7" t="s">
        <v>146</v>
      </c>
      <c r="BD10" s="7" t="s">
        <v>146</v>
      </c>
      <c r="BE10" s="7" t="s">
        <v>146</v>
      </c>
    </row>
    <row r="11" spans="1:57" ht="22.05" customHeight="1" x14ac:dyDescent="0.3">
      <c r="A11" s="5">
        <v>5</v>
      </c>
      <c r="B11" s="5" t="s">
        <v>167</v>
      </c>
      <c r="C11" s="6" t="s">
        <v>455</v>
      </c>
      <c r="D11" s="6" t="s">
        <v>456</v>
      </c>
      <c r="E11" s="5" t="s">
        <v>448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7" t="s">
        <v>146</v>
      </c>
      <c r="T11" s="7" t="s">
        <v>146</v>
      </c>
      <c r="U11" s="7" t="s">
        <v>146</v>
      </c>
      <c r="V11" s="7" t="s">
        <v>146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7" t="s">
        <v>146</v>
      </c>
      <c r="AK11" s="7" t="s">
        <v>146</v>
      </c>
      <c r="AL11" s="7" t="s">
        <v>146</v>
      </c>
      <c r="AM11" s="7" t="s">
        <v>146</v>
      </c>
      <c r="AN11" s="7" t="s">
        <v>146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7" t="s">
        <v>146</v>
      </c>
      <c r="BC11" s="7" t="s">
        <v>146</v>
      </c>
      <c r="BD11" s="7" t="s">
        <v>146</v>
      </c>
      <c r="BE11" s="7" t="s">
        <v>146</v>
      </c>
    </row>
    <row r="12" spans="1:57" ht="25.05" customHeight="1" x14ac:dyDescent="0.3">
      <c r="A12" s="35" t="s">
        <v>457</v>
      </c>
      <c r="B12" s="35"/>
      <c r="C12" s="35"/>
      <c r="D12" s="36" t="s">
        <v>458</v>
      </c>
      <c r="E12" s="3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spans="1:57" ht="22.05" customHeight="1" x14ac:dyDescent="0.3">
      <c r="A13" s="9">
        <v>6</v>
      </c>
      <c r="B13" s="9" t="s">
        <v>142</v>
      </c>
      <c r="C13" s="10" t="s">
        <v>459</v>
      </c>
      <c r="D13" s="10" t="s">
        <v>460</v>
      </c>
      <c r="E13" s="9" t="s">
        <v>461</v>
      </c>
      <c r="F13" s="11"/>
      <c r="G13" s="11"/>
      <c r="H13" s="11"/>
      <c r="I13" s="11"/>
      <c r="J13" s="11"/>
      <c r="K13" s="11"/>
      <c r="L13" s="11"/>
      <c r="M13" s="11"/>
      <c r="N13" s="7" t="s">
        <v>146</v>
      </c>
      <c r="O13" s="7" t="s">
        <v>146</v>
      </c>
      <c r="P13" s="7" t="s">
        <v>146</v>
      </c>
      <c r="Q13" s="7" t="s">
        <v>146</v>
      </c>
      <c r="R13" s="7" t="s">
        <v>146</v>
      </c>
      <c r="S13" s="7" t="s">
        <v>146</v>
      </c>
      <c r="T13" s="7" t="s">
        <v>146</v>
      </c>
      <c r="U13" s="7" t="s">
        <v>146</v>
      </c>
      <c r="V13" s="7" t="s">
        <v>146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</row>
    <row r="14" spans="1:57" ht="22.05" customHeight="1" x14ac:dyDescent="0.3">
      <c r="A14" s="5">
        <v>7</v>
      </c>
      <c r="B14" s="5" t="s">
        <v>147</v>
      </c>
      <c r="C14" s="6" t="s">
        <v>462</v>
      </c>
      <c r="D14" s="6" t="s">
        <v>463</v>
      </c>
      <c r="E14" s="5" t="s">
        <v>448</v>
      </c>
      <c r="F14" s="8"/>
      <c r="G14" s="8"/>
      <c r="H14" s="8"/>
      <c r="I14" s="8"/>
      <c r="J14" s="8"/>
      <c r="K14" s="8"/>
      <c r="L14" s="8"/>
      <c r="M14" s="8"/>
      <c r="N14" s="7" t="s">
        <v>146</v>
      </c>
      <c r="O14" s="7" t="s">
        <v>146</v>
      </c>
      <c r="P14" s="7" t="s">
        <v>146</v>
      </c>
      <c r="Q14" s="7" t="s">
        <v>146</v>
      </c>
      <c r="R14" s="7" t="s">
        <v>146</v>
      </c>
      <c r="S14" s="7" t="s">
        <v>146</v>
      </c>
      <c r="T14" s="7" t="s">
        <v>146</v>
      </c>
      <c r="U14" s="7" t="s">
        <v>146</v>
      </c>
      <c r="V14" s="7" t="s">
        <v>146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</row>
    <row r="15" spans="1:57" ht="22.05" customHeight="1" x14ac:dyDescent="0.3">
      <c r="A15" s="9">
        <v>8</v>
      </c>
      <c r="B15" s="9" t="s">
        <v>151</v>
      </c>
      <c r="C15" s="10" t="s">
        <v>464</v>
      </c>
      <c r="D15" s="10" t="s">
        <v>465</v>
      </c>
      <c r="E15" s="9" t="s">
        <v>448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7" t="s">
        <v>146</v>
      </c>
      <c r="T15" s="7" t="s">
        <v>146</v>
      </c>
      <c r="U15" s="7" t="s">
        <v>146</v>
      </c>
      <c r="V15" s="7" t="s">
        <v>146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</row>
    <row r="16" spans="1:57" ht="22.05" customHeight="1" x14ac:dyDescent="0.3">
      <c r="A16" s="5">
        <v>9</v>
      </c>
      <c r="B16" s="5" t="s">
        <v>154</v>
      </c>
      <c r="C16" s="6" t="s">
        <v>466</v>
      </c>
      <c r="D16" s="6" t="s">
        <v>467</v>
      </c>
      <c r="E16" s="5" t="s">
        <v>448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146</v>
      </c>
      <c r="T16" s="7" t="s">
        <v>146</v>
      </c>
      <c r="U16" s="7" t="s">
        <v>146</v>
      </c>
      <c r="V16" s="7" t="s">
        <v>146</v>
      </c>
      <c r="W16" s="7" t="s">
        <v>146</v>
      </c>
      <c r="X16" s="7" t="s">
        <v>146</v>
      </c>
      <c r="Y16" s="7" t="s">
        <v>146</v>
      </c>
      <c r="Z16" s="7" t="s">
        <v>146</v>
      </c>
      <c r="AA16" s="7" t="s">
        <v>146</v>
      </c>
      <c r="AB16" s="7" t="s">
        <v>146</v>
      </c>
      <c r="AC16" s="7" t="s">
        <v>146</v>
      </c>
      <c r="AD16" s="7" t="s">
        <v>146</v>
      </c>
      <c r="AE16" s="7" t="s">
        <v>146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</row>
    <row r="17" spans="1:57" ht="25.05" customHeight="1" x14ac:dyDescent="0.3">
      <c r="A17" s="35" t="s">
        <v>468</v>
      </c>
      <c r="B17" s="35"/>
      <c r="C17" s="35"/>
      <c r="D17" s="36" t="s">
        <v>469</v>
      </c>
      <c r="E17" s="3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</row>
    <row r="18" spans="1:57" ht="22.05" customHeight="1" x14ac:dyDescent="0.3">
      <c r="A18" s="9">
        <v>10</v>
      </c>
      <c r="B18" s="9" t="s">
        <v>142</v>
      </c>
      <c r="C18" s="10" t="s">
        <v>470</v>
      </c>
      <c r="D18" s="10" t="s">
        <v>471</v>
      </c>
      <c r="E18" s="9" t="s">
        <v>448</v>
      </c>
      <c r="F18" s="11"/>
      <c r="G18" s="11"/>
      <c r="H18" s="11"/>
      <c r="I18" s="11"/>
      <c r="J18" s="11"/>
      <c r="K18" s="11"/>
      <c r="L18" s="11"/>
      <c r="M18" s="11"/>
      <c r="N18" s="7" t="s">
        <v>146</v>
      </c>
      <c r="O18" s="7" t="s">
        <v>146</v>
      </c>
      <c r="P18" s="7" t="s">
        <v>146</v>
      </c>
      <c r="Q18" s="7" t="s">
        <v>146</v>
      </c>
      <c r="R18" s="7" t="s">
        <v>146</v>
      </c>
      <c r="S18" s="7" t="s">
        <v>146</v>
      </c>
      <c r="T18" s="7" t="s">
        <v>146</v>
      </c>
      <c r="U18" s="7" t="s">
        <v>146</v>
      </c>
      <c r="V18" s="7" t="s">
        <v>146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7" t="s">
        <v>146</v>
      </c>
      <c r="AT18" s="7" t="s">
        <v>146</v>
      </c>
      <c r="AU18" s="7" t="s">
        <v>146</v>
      </c>
      <c r="AV18" s="7" t="s">
        <v>146</v>
      </c>
      <c r="AW18" s="7" t="s">
        <v>146</v>
      </c>
      <c r="AX18" s="7" t="s">
        <v>146</v>
      </c>
      <c r="AY18" s="7" t="s">
        <v>146</v>
      </c>
      <c r="AZ18" s="7" t="s">
        <v>146</v>
      </c>
      <c r="BA18" s="7" t="s">
        <v>146</v>
      </c>
      <c r="BB18" s="11"/>
      <c r="BC18" s="11"/>
      <c r="BD18" s="11"/>
      <c r="BE18" s="11"/>
    </row>
    <row r="19" spans="1:57" ht="22.05" customHeight="1" x14ac:dyDescent="0.3">
      <c r="A19" s="5">
        <v>11</v>
      </c>
      <c r="B19" s="5" t="s">
        <v>147</v>
      </c>
      <c r="C19" s="6" t="s">
        <v>472</v>
      </c>
      <c r="D19" s="6" t="s">
        <v>473</v>
      </c>
      <c r="E19" s="5" t="s">
        <v>448</v>
      </c>
      <c r="F19" s="8"/>
      <c r="G19" s="8"/>
      <c r="H19" s="8"/>
      <c r="I19" s="8"/>
      <c r="J19" s="8"/>
      <c r="K19" s="8"/>
      <c r="L19" s="8"/>
      <c r="M19" s="8"/>
      <c r="N19" s="7" t="s">
        <v>146</v>
      </c>
      <c r="O19" s="7" t="s">
        <v>146</v>
      </c>
      <c r="P19" s="7" t="s">
        <v>146</v>
      </c>
      <c r="Q19" s="7" t="s">
        <v>146</v>
      </c>
      <c r="R19" s="7" t="s">
        <v>146</v>
      </c>
      <c r="S19" s="7" t="s">
        <v>146</v>
      </c>
      <c r="T19" s="7" t="s">
        <v>146</v>
      </c>
      <c r="U19" s="7" t="s">
        <v>146</v>
      </c>
      <c r="V19" s="7" t="s">
        <v>146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7" t="s">
        <v>146</v>
      </c>
      <c r="AT19" s="7" t="s">
        <v>146</v>
      </c>
      <c r="AU19" s="7" t="s">
        <v>146</v>
      </c>
      <c r="AV19" s="7" t="s">
        <v>146</v>
      </c>
      <c r="AW19" s="7" t="s">
        <v>146</v>
      </c>
      <c r="AX19" s="7" t="s">
        <v>146</v>
      </c>
      <c r="AY19" s="7" t="s">
        <v>146</v>
      </c>
      <c r="AZ19" s="7" t="s">
        <v>146</v>
      </c>
      <c r="BA19" s="7" t="s">
        <v>146</v>
      </c>
      <c r="BB19" s="8"/>
      <c r="BC19" s="8"/>
      <c r="BD19" s="8"/>
      <c r="BE19" s="8"/>
    </row>
    <row r="20" spans="1:57" ht="22.05" customHeight="1" x14ac:dyDescent="0.3">
      <c r="A20" s="9">
        <v>12</v>
      </c>
      <c r="B20" s="9" t="s">
        <v>151</v>
      </c>
      <c r="C20" s="10" t="s">
        <v>474</v>
      </c>
      <c r="D20" s="10" t="s">
        <v>475</v>
      </c>
      <c r="E20" s="9" t="s">
        <v>448</v>
      </c>
      <c r="F20" s="11"/>
      <c r="G20" s="11"/>
      <c r="H20" s="11"/>
      <c r="I20" s="11"/>
      <c r="J20" s="11"/>
      <c r="K20" s="11"/>
      <c r="L20" s="11"/>
      <c r="M20" s="11"/>
      <c r="N20" s="7" t="s">
        <v>146</v>
      </c>
      <c r="O20" s="7" t="s">
        <v>146</v>
      </c>
      <c r="P20" s="7" t="s">
        <v>146</v>
      </c>
      <c r="Q20" s="7" t="s">
        <v>146</v>
      </c>
      <c r="R20" s="7" t="s">
        <v>146</v>
      </c>
      <c r="S20" s="7" t="s">
        <v>146</v>
      </c>
      <c r="T20" s="7" t="s">
        <v>146</v>
      </c>
      <c r="U20" s="7" t="s">
        <v>146</v>
      </c>
      <c r="V20" s="7" t="s">
        <v>146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7" t="s">
        <v>146</v>
      </c>
      <c r="AT20" s="7" t="s">
        <v>146</v>
      </c>
      <c r="AU20" s="7" t="s">
        <v>146</v>
      </c>
      <c r="AV20" s="7" t="s">
        <v>146</v>
      </c>
      <c r="AW20" s="7" t="s">
        <v>146</v>
      </c>
      <c r="AX20" s="7" t="s">
        <v>146</v>
      </c>
      <c r="AY20" s="7" t="s">
        <v>146</v>
      </c>
      <c r="AZ20" s="7" t="s">
        <v>146</v>
      </c>
      <c r="BA20" s="7" t="s">
        <v>146</v>
      </c>
      <c r="BB20" s="11"/>
      <c r="BC20" s="11"/>
      <c r="BD20" s="11"/>
      <c r="BE20" s="11"/>
    </row>
    <row r="21" spans="1:57" ht="22.05" customHeight="1" x14ac:dyDescent="0.3">
      <c r="A21" s="5">
        <v>13</v>
      </c>
      <c r="B21" s="5" t="s">
        <v>154</v>
      </c>
      <c r="C21" s="6" t="s">
        <v>476</v>
      </c>
      <c r="D21" s="6" t="s">
        <v>477</v>
      </c>
      <c r="E21" s="5" t="s">
        <v>448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7" t="s">
        <v>146</v>
      </c>
      <c r="T21" s="7" t="s">
        <v>146</v>
      </c>
      <c r="U21" s="7" t="s">
        <v>146</v>
      </c>
      <c r="V21" s="7" t="s">
        <v>146</v>
      </c>
      <c r="W21" s="7" t="s">
        <v>146</v>
      </c>
      <c r="X21" s="7" t="s">
        <v>146</v>
      </c>
      <c r="Y21" s="7" t="s">
        <v>146</v>
      </c>
      <c r="Z21" s="7" t="s">
        <v>146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7" t="s">
        <v>146</v>
      </c>
      <c r="AX21" s="7" t="s">
        <v>146</v>
      </c>
      <c r="AY21" s="7" t="s">
        <v>146</v>
      </c>
      <c r="AZ21" s="7" t="s">
        <v>146</v>
      </c>
      <c r="BA21" s="7" t="s">
        <v>146</v>
      </c>
      <c r="BB21" s="7" t="s">
        <v>146</v>
      </c>
      <c r="BC21" s="7" t="s">
        <v>146</v>
      </c>
      <c r="BD21" s="7" t="s">
        <v>146</v>
      </c>
      <c r="BE21" s="7" t="s">
        <v>146</v>
      </c>
    </row>
    <row r="22" spans="1:57" ht="28.05" customHeight="1" x14ac:dyDescent="0.3">
      <c r="A22" s="34" t="s">
        <v>478</v>
      </c>
      <c r="B22" s="34"/>
      <c r="C22" s="34"/>
      <c r="D22" s="34"/>
      <c r="E22" s="3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 ht="25.05" customHeight="1" x14ac:dyDescent="0.3">
      <c r="A23" s="35" t="s">
        <v>479</v>
      </c>
      <c r="B23" s="35"/>
      <c r="C23" s="35"/>
      <c r="D23" s="36" t="s">
        <v>480</v>
      </c>
      <c r="E23" s="3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1:57" ht="22.05" customHeight="1" x14ac:dyDescent="0.3">
      <c r="A24" s="9">
        <v>14</v>
      </c>
      <c r="B24" s="9" t="s">
        <v>142</v>
      </c>
      <c r="C24" s="10" t="s">
        <v>481</v>
      </c>
      <c r="D24" s="10" t="s">
        <v>482</v>
      </c>
      <c r="E24" s="9" t="s">
        <v>461</v>
      </c>
      <c r="F24" s="7" t="s">
        <v>146</v>
      </c>
      <c r="G24" s="7" t="s">
        <v>146</v>
      </c>
      <c r="H24" s="7" t="s">
        <v>146</v>
      </c>
      <c r="I24" s="7" t="s">
        <v>146</v>
      </c>
      <c r="J24" s="7" t="s">
        <v>146</v>
      </c>
      <c r="K24" s="7" t="s">
        <v>146</v>
      </c>
      <c r="L24" s="7" t="s">
        <v>146</v>
      </c>
      <c r="M24" s="7" t="s">
        <v>146</v>
      </c>
      <c r="N24" s="7" t="s">
        <v>146</v>
      </c>
      <c r="O24" s="7" t="s">
        <v>146</v>
      </c>
      <c r="P24" s="7" t="s">
        <v>146</v>
      </c>
      <c r="Q24" s="7" t="s">
        <v>146</v>
      </c>
      <c r="R24" s="7" t="s">
        <v>146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</row>
    <row r="25" spans="1:57" ht="22.05" customHeight="1" x14ac:dyDescent="0.3">
      <c r="A25" s="5">
        <v>15</v>
      </c>
      <c r="B25" s="5" t="s">
        <v>147</v>
      </c>
      <c r="C25" s="6" t="s">
        <v>483</v>
      </c>
      <c r="D25" s="6" t="s">
        <v>484</v>
      </c>
      <c r="E25" s="5" t="s">
        <v>485</v>
      </c>
      <c r="F25" s="8"/>
      <c r="G25" s="8"/>
      <c r="H25" s="8"/>
      <c r="I25" s="8"/>
      <c r="J25" s="7" t="s">
        <v>146</v>
      </c>
      <c r="K25" s="7" t="s">
        <v>146</v>
      </c>
      <c r="L25" s="7" t="s">
        <v>146</v>
      </c>
      <c r="M25" s="7" t="s">
        <v>146</v>
      </c>
      <c r="N25" s="7" t="s">
        <v>146</v>
      </c>
      <c r="O25" s="7" t="s">
        <v>146</v>
      </c>
      <c r="P25" s="7" t="s">
        <v>146</v>
      </c>
      <c r="Q25" s="7" t="s">
        <v>146</v>
      </c>
      <c r="R25" s="7" t="s">
        <v>146</v>
      </c>
      <c r="S25" s="7" t="s">
        <v>146</v>
      </c>
      <c r="T25" s="7" t="s">
        <v>146</v>
      </c>
      <c r="U25" s="7" t="s">
        <v>146</v>
      </c>
      <c r="V25" s="7" t="s">
        <v>146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1:57" ht="22.05" customHeight="1" x14ac:dyDescent="0.3">
      <c r="A26" s="9">
        <v>16</v>
      </c>
      <c r="B26" s="9" t="s">
        <v>151</v>
      </c>
      <c r="C26" s="10" t="s">
        <v>486</v>
      </c>
      <c r="D26" s="10" t="s">
        <v>487</v>
      </c>
      <c r="E26" s="9" t="s">
        <v>485</v>
      </c>
      <c r="F26" s="11"/>
      <c r="G26" s="11"/>
      <c r="H26" s="11"/>
      <c r="I26" s="11"/>
      <c r="J26" s="11"/>
      <c r="K26" s="11"/>
      <c r="L26" s="11"/>
      <c r="M26" s="11"/>
      <c r="N26" s="7" t="s">
        <v>146</v>
      </c>
      <c r="O26" s="7" t="s">
        <v>146</v>
      </c>
      <c r="P26" s="7" t="s">
        <v>146</v>
      </c>
      <c r="Q26" s="7" t="s">
        <v>146</v>
      </c>
      <c r="R26" s="7" t="s">
        <v>146</v>
      </c>
      <c r="S26" s="7" t="s">
        <v>146</v>
      </c>
      <c r="T26" s="7" t="s">
        <v>146</v>
      </c>
      <c r="U26" s="7" t="s">
        <v>146</v>
      </c>
      <c r="V26" s="7" t="s">
        <v>146</v>
      </c>
      <c r="W26" s="7" t="s">
        <v>146</v>
      </c>
      <c r="X26" s="7" t="s">
        <v>146</v>
      </c>
      <c r="Y26" s="7" t="s">
        <v>146</v>
      </c>
      <c r="Z26" s="7" t="s">
        <v>146</v>
      </c>
      <c r="AA26" s="7" t="s">
        <v>146</v>
      </c>
      <c r="AB26" s="7" t="s">
        <v>146</v>
      </c>
      <c r="AC26" s="7" t="s">
        <v>146</v>
      </c>
      <c r="AD26" s="7" t="s">
        <v>146</v>
      </c>
      <c r="AE26" s="7" t="s">
        <v>146</v>
      </c>
      <c r="AF26" s="7" t="s">
        <v>146</v>
      </c>
      <c r="AG26" s="7" t="s">
        <v>146</v>
      </c>
      <c r="AH26" s="7" t="s">
        <v>146</v>
      </c>
      <c r="AI26" s="7" t="s">
        <v>146</v>
      </c>
      <c r="AJ26" s="7" t="s">
        <v>146</v>
      </c>
      <c r="AK26" s="7" t="s">
        <v>146</v>
      </c>
      <c r="AL26" s="7" t="s">
        <v>146</v>
      </c>
      <c r="AM26" s="7" t="s">
        <v>146</v>
      </c>
      <c r="AN26" s="7" t="s">
        <v>146</v>
      </c>
      <c r="AO26" s="7" t="s">
        <v>146</v>
      </c>
      <c r="AP26" s="7" t="s">
        <v>146</v>
      </c>
      <c r="AQ26" s="7" t="s">
        <v>146</v>
      </c>
      <c r="AR26" s="7" t="s">
        <v>146</v>
      </c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</row>
    <row r="27" spans="1:57" ht="22.05" customHeight="1" x14ac:dyDescent="0.3">
      <c r="A27" s="5">
        <v>17</v>
      </c>
      <c r="B27" s="5" t="s">
        <v>154</v>
      </c>
      <c r="C27" s="6" t="s">
        <v>488</v>
      </c>
      <c r="D27" s="6" t="s">
        <v>489</v>
      </c>
      <c r="E27" s="5" t="s">
        <v>485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7" t="s">
        <v>146</v>
      </c>
      <c r="T27" s="7" t="s">
        <v>146</v>
      </c>
      <c r="U27" s="7" t="s">
        <v>146</v>
      </c>
      <c r="V27" s="7" t="s">
        <v>146</v>
      </c>
      <c r="W27" s="7" t="s">
        <v>146</v>
      </c>
      <c r="X27" s="7" t="s">
        <v>146</v>
      </c>
      <c r="Y27" s="7" t="s">
        <v>146</v>
      </c>
      <c r="Z27" s="7" t="s">
        <v>146</v>
      </c>
      <c r="AA27" s="7" t="s">
        <v>146</v>
      </c>
      <c r="AB27" s="7" t="s">
        <v>146</v>
      </c>
      <c r="AC27" s="7" t="s">
        <v>146</v>
      </c>
      <c r="AD27" s="7" t="s">
        <v>146</v>
      </c>
      <c r="AE27" s="7" t="s">
        <v>146</v>
      </c>
      <c r="AF27" s="7" t="s">
        <v>146</v>
      </c>
      <c r="AG27" s="7" t="s">
        <v>146</v>
      </c>
      <c r="AH27" s="7" t="s">
        <v>146</v>
      </c>
      <c r="AI27" s="7" t="s">
        <v>146</v>
      </c>
      <c r="AJ27" s="7" t="s">
        <v>146</v>
      </c>
      <c r="AK27" s="7" t="s">
        <v>146</v>
      </c>
      <c r="AL27" s="7" t="s">
        <v>146</v>
      </c>
      <c r="AM27" s="7" t="s">
        <v>146</v>
      </c>
      <c r="AN27" s="7" t="s">
        <v>146</v>
      </c>
      <c r="AO27" s="7" t="s">
        <v>146</v>
      </c>
      <c r="AP27" s="7" t="s">
        <v>146</v>
      </c>
      <c r="AQ27" s="7" t="s">
        <v>146</v>
      </c>
      <c r="AR27" s="7" t="s">
        <v>146</v>
      </c>
      <c r="AS27" s="7" t="s">
        <v>146</v>
      </c>
      <c r="AT27" s="7" t="s">
        <v>146</v>
      </c>
      <c r="AU27" s="7" t="s">
        <v>146</v>
      </c>
      <c r="AV27" s="7" t="s">
        <v>146</v>
      </c>
      <c r="AW27" s="7" t="s">
        <v>146</v>
      </c>
      <c r="AX27" s="7" t="s">
        <v>146</v>
      </c>
      <c r="AY27" s="7" t="s">
        <v>146</v>
      </c>
      <c r="AZ27" s="7" t="s">
        <v>146</v>
      </c>
      <c r="BA27" s="7" t="s">
        <v>146</v>
      </c>
      <c r="BB27" s="7" t="s">
        <v>146</v>
      </c>
      <c r="BC27" s="7" t="s">
        <v>146</v>
      </c>
      <c r="BD27" s="7" t="s">
        <v>146</v>
      </c>
      <c r="BE27" s="7" t="s">
        <v>146</v>
      </c>
    </row>
    <row r="28" spans="1:57" ht="25.05" customHeight="1" x14ac:dyDescent="0.3">
      <c r="A28" s="35" t="s">
        <v>490</v>
      </c>
      <c r="B28" s="35"/>
      <c r="C28" s="35"/>
      <c r="D28" s="36" t="s">
        <v>491</v>
      </c>
      <c r="E28" s="3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57" ht="22.05" customHeight="1" x14ac:dyDescent="0.3">
      <c r="A29" s="9">
        <v>18</v>
      </c>
      <c r="B29" s="9" t="s">
        <v>142</v>
      </c>
      <c r="C29" s="10" t="s">
        <v>492</v>
      </c>
      <c r="D29" s="10" t="s">
        <v>493</v>
      </c>
      <c r="E29" s="9" t="s">
        <v>494</v>
      </c>
      <c r="F29" s="7" t="s">
        <v>146</v>
      </c>
      <c r="G29" s="7" t="s">
        <v>146</v>
      </c>
      <c r="H29" s="7" t="s">
        <v>146</v>
      </c>
      <c r="I29" s="7" t="s">
        <v>146</v>
      </c>
      <c r="J29" s="7" t="s">
        <v>146</v>
      </c>
      <c r="K29" s="7" t="s">
        <v>146</v>
      </c>
      <c r="L29" s="7" t="s">
        <v>146</v>
      </c>
      <c r="M29" s="7" t="s">
        <v>146</v>
      </c>
      <c r="N29" s="7" t="s">
        <v>146</v>
      </c>
      <c r="O29" s="7" t="s">
        <v>146</v>
      </c>
      <c r="P29" s="7" t="s">
        <v>146</v>
      </c>
      <c r="Q29" s="7" t="s">
        <v>146</v>
      </c>
      <c r="R29" s="7" t="s">
        <v>146</v>
      </c>
      <c r="S29" s="7" t="s">
        <v>146</v>
      </c>
      <c r="T29" s="7" t="s">
        <v>146</v>
      </c>
      <c r="U29" s="7" t="s">
        <v>146</v>
      </c>
      <c r="V29" s="7" t="s">
        <v>146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</row>
    <row r="30" spans="1:57" ht="22.05" customHeight="1" x14ac:dyDescent="0.3">
      <c r="A30" s="5">
        <v>19</v>
      </c>
      <c r="B30" s="5" t="s">
        <v>147</v>
      </c>
      <c r="C30" s="6" t="s">
        <v>495</v>
      </c>
      <c r="D30" s="6" t="s">
        <v>496</v>
      </c>
      <c r="E30" s="5" t="s">
        <v>448</v>
      </c>
      <c r="F30" s="7" t="s">
        <v>146</v>
      </c>
      <c r="G30" s="7" t="s">
        <v>146</v>
      </c>
      <c r="H30" s="7" t="s">
        <v>146</v>
      </c>
      <c r="I30" s="7" t="s">
        <v>146</v>
      </c>
      <c r="J30" s="7" t="s">
        <v>146</v>
      </c>
      <c r="K30" s="7" t="s">
        <v>146</v>
      </c>
      <c r="L30" s="7" t="s">
        <v>146</v>
      </c>
      <c r="M30" s="7" t="s">
        <v>146</v>
      </c>
      <c r="N30" s="7" t="s">
        <v>146</v>
      </c>
      <c r="O30" s="7" t="s">
        <v>146</v>
      </c>
      <c r="P30" s="7" t="s">
        <v>146</v>
      </c>
      <c r="Q30" s="7" t="s">
        <v>146</v>
      </c>
      <c r="R30" s="7" t="s">
        <v>146</v>
      </c>
      <c r="S30" s="7" t="s">
        <v>146</v>
      </c>
      <c r="T30" s="7" t="s">
        <v>146</v>
      </c>
      <c r="U30" s="7" t="s">
        <v>146</v>
      </c>
      <c r="V30" s="7" t="s">
        <v>146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</row>
    <row r="31" spans="1:57" ht="22.05" customHeight="1" x14ac:dyDescent="0.3">
      <c r="A31" s="9">
        <v>20</v>
      </c>
      <c r="B31" s="9" t="s">
        <v>151</v>
      </c>
      <c r="C31" s="10" t="s">
        <v>497</v>
      </c>
      <c r="D31" s="10" t="s">
        <v>498</v>
      </c>
      <c r="E31" s="9" t="s">
        <v>448</v>
      </c>
      <c r="F31" s="11"/>
      <c r="G31" s="11"/>
      <c r="H31" s="11"/>
      <c r="I31" s="11"/>
      <c r="J31" s="11"/>
      <c r="K31" s="11"/>
      <c r="L31" s="11"/>
      <c r="M31" s="11"/>
      <c r="N31" s="7" t="s">
        <v>146</v>
      </c>
      <c r="O31" s="7" t="s">
        <v>146</v>
      </c>
      <c r="P31" s="7" t="s">
        <v>146</v>
      </c>
      <c r="Q31" s="7" t="s">
        <v>146</v>
      </c>
      <c r="R31" s="7" t="s">
        <v>146</v>
      </c>
      <c r="S31" s="7" t="s">
        <v>146</v>
      </c>
      <c r="T31" s="7" t="s">
        <v>146</v>
      </c>
      <c r="U31" s="7" t="s">
        <v>146</v>
      </c>
      <c r="V31" s="7" t="s">
        <v>146</v>
      </c>
      <c r="W31" s="7" t="s">
        <v>146</v>
      </c>
      <c r="X31" s="7" t="s">
        <v>146</v>
      </c>
      <c r="Y31" s="7" t="s">
        <v>146</v>
      </c>
      <c r="Z31" s="7" t="s">
        <v>146</v>
      </c>
      <c r="AA31" s="7" t="s">
        <v>146</v>
      </c>
      <c r="AB31" s="7" t="s">
        <v>146</v>
      </c>
      <c r="AC31" s="7" t="s">
        <v>146</v>
      </c>
      <c r="AD31" s="7" t="s">
        <v>146</v>
      </c>
      <c r="AE31" s="7" t="s">
        <v>146</v>
      </c>
      <c r="AF31" s="7" t="s">
        <v>146</v>
      </c>
      <c r="AG31" s="7" t="s">
        <v>146</v>
      </c>
      <c r="AH31" s="7" t="s">
        <v>146</v>
      </c>
      <c r="AI31" s="7" t="s">
        <v>146</v>
      </c>
      <c r="AJ31" s="7" t="s">
        <v>146</v>
      </c>
      <c r="AK31" s="7" t="s">
        <v>146</v>
      </c>
      <c r="AL31" s="7" t="s">
        <v>146</v>
      </c>
      <c r="AM31" s="7" t="s">
        <v>146</v>
      </c>
      <c r="AN31" s="7" t="s">
        <v>146</v>
      </c>
      <c r="AO31" s="7" t="s">
        <v>146</v>
      </c>
      <c r="AP31" s="7" t="s">
        <v>146</v>
      </c>
      <c r="AQ31" s="7" t="s">
        <v>146</v>
      </c>
      <c r="AR31" s="7" t="s">
        <v>146</v>
      </c>
      <c r="AS31" s="7" t="s">
        <v>146</v>
      </c>
      <c r="AT31" s="7" t="s">
        <v>146</v>
      </c>
      <c r="AU31" s="7" t="s">
        <v>146</v>
      </c>
      <c r="AV31" s="7" t="s">
        <v>146</v>
      </c>
      <c r="AW31" s="7" t="s">
        <v>146</v>
      </c>
      <c r="AX31" s="7" t="s">
        <v>146</v>
      </c>
      <c r="AY31" s="7" t="s">
        <v>146</v>
      </c>
      <c r="AZ31" s="7" t="s">
        <v>146</v>
      </c>
      <c r="BA31" s="7" t="s">
        <v>146</v>
      </c>
      <c r="BB31" s="7" t="s">
        <v>146</v>
      </c>
      <c r="BC31" s="7" t="s">
        <v>146</v>
      </c>
      <c r="BD31" s="7" t="s">
        <v>146</v>
      </c>
      <c r="BE31" s="7" t="s">
        <v>146</v>
      </c>
    </row>
    <row r="32" spans="1:57" ht="22.05" customHeight="1" x14ac:dyDescent="0.3">
      <c r="A32" s="5">
        <v>21</v>
      </c>
      <c r="B32" s="5" t="s">
        <v>154</v>
      </c>
      <c r="C32" s="6" t="s">
        <v>499</v>
      </c>
      <c r="D32" s="6" t="s">
        <v>500</v>
      </c>
      <c r="E32" s="5" t="s">
        <v>448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7" t="s">
        <v>146</v>
      </c>
      <c r="X32" s="7" t="s">
        <v>146</v>
      </c>
      <c r="Y32" s="7" t="s">
        <v>146</v>
      </c>
      <c r="Z32" s="7" t="s">
        <v>146</v>
      </c>
      <c r="AA32" s="7" t="s">
        <v>146</v>
      </c>
      <c r="AB32" s="7" t="s">
        <v>146</v>
      </c>
      <c r="AC32" s="7" t="s">
        <v>146</v>
      </c>
      <c r="AD32" s="7" t="s">
        <v>146</v>
      </c>
      <c r="AE32" s="7" t="s">
        <v>146</v>
      </c>
      <c r="AF32" s="8"/>
      <c r="AG32" s="8"/>
      <c r="AH32" s="8"/>
      <c r="AI32" s="8"/>
      <c r="AJ32" s="8"/>
      <c r="AK32" s="8"/>
      <c r="AL32" s="8"/>
      <c r="AM32" s="8"/>
      <c r="AN32" s="8"/>
      <c r="AO32" s="7" t="s">
        <v>146</v>
      </c>
      <c r="AP32" s="7" t="s">
        <v>146</v>
      </c>
      <c r="AQ32" s="7" t="s">
        <v>146</v>
      </c>
      <c r="AR32" s="7" t="s">
        <v>146</v>
      </c>
      <c r="AS32" s="7" t="s">
        <v>146</v>
      </c>
      <c r="AT32" s="7" t="s">
        <v>146</v>
      </c>
      <c r="AU32" s="7" t="s">
        <v>146</v>
      </c>
      <c r="AV32" s="7" t="s">
        <v>146</v>
      </c>
      <c r="AW32" s="8"/>
      <c r="AX32" s="8"/>
      <c r="AY32" s="8"/>
      <c r="AZ32" s="8"/>
      <c r="BA32" s="8"/>
      <c r="BB32" s="8"/>
      <c r="BC32" s="8"/>
      <c r="BD32" s="8"/>
      <c r="BE32" s="8"/>
    </row>
    <row r="33" spans="1:57" ht="25.05" customHeight="1" x14ac:dyDescent="0.3">
      <c r="A33" s="35" t="s">
        <v>501</v>
      </c>
      <c r="B33" s="35"/>
      <c r="C33" s="35"/>
      <c r="D33" s="36" t="s">
        <v>502</v>
      </c>
      <c r="E33" s="3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spans="1:57" ht="22.05" customHeight="1" x14ac:dyDescent="0.3">
      <c r="A34" s="9">
        <v>22</v>
      </c>
      <c r="B34" s="9" t="s">
        <v>142</v>
      </c>
      <c r="C34" s="10" t="s">
        <v>503</v>
      </c>
      <c r="D34" s="10" t="s">
        <v>504</v>
      </c>
      <c r="E34" s="9" t="s">
        <v>485</v>
      </c>
      <c r="F34" s="11"/>
      <c r="G34" s="11"/>
      <c r="H34" s="11"/>
      <c r="I34" s="11"/>
      <c r="J34" s="11"/>
      <c r="K34" s="11"/>
      <c r="L34" s="11"/>
      <c r="M34" s="11"/>
      <c r="N34" s="7" t="s">
        <v>146</v>
      </c>
      <c r="O34" s="7" t="s">
        <v>146</v>
      </c>
      <c r="P34" s="7" t="s">
        <v>146</v>
      </c>
      <c r="Q34" s="7" t="s">
        <v>146</v>
      </c>
      <c r="R34" s="7" t="s">
        <v>146</v>
      </c>
      <c r="S34" s="7" t="s">
        <v>146</v>
      </c>
      <c r="T34" s="7" t="s">
        <v>146</v>
      </c>
      <c r="U34" s="7" t="s">
        <v>146</v>
      </c>
      <c r="V34" s="7" t="s">
        <v>146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</row>
    <row r="35" spans="1:57" ht="22.05" customHeight="1" x14ac:dyDescent="0.3">
      <c r="A35" s="5">
        <v>23</v>
      </c>
      <c r="B35" s="5" t="s">
        <v>147</v>
      </c>
      <c r="C35" s="6" t="s">
        <v>505</v>
      </c>
      <c r="D35" s="6" t="s">
        <v>506</v>
      </c>
      <c r="E35" s="5" t="s">
        <v>448</v>
      </c>
      <c r="F35" s="8"/>
      <c r="G35" s="8"/>
      <c r="H35" s="8"/>
      <c r="I35" s="8"/>
      <c r="J35" s="8"/>
      <c r="K35" s="8"/>
      <c r="L35" s="8"/>
      <c r="M35" s="8"/>
      <c r="N35" s="7" t="s">
        <v>146</v>
      </c>
      <c r="O35" s="7" t="s">
        <v>146</v>
      </c>
      <c r="P35" s="7" t="s">
        <v>146</v>
      </c>
      <c r="Q35" s="7" t="s">
        <v>146</v>
      </c>
      <c r="R35" s="7" t="s">
        <v>146</v>
      </c>
      <c r="S35" s="7" t="s">
        <v>146</v>
      </c>
      <c r="T35" s="7" t="s">
        <v>146</v>
      </c>
      <c r="U35" s="7" t="s">
        <v>146</v>
      </c>
      <c r="V35" s="7" t="s">
        <v>146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</row>
    <row r="36" spans="1:57" ht="22.05" customHeight="1" x14ac:dyDescent="0.3">
      <c r="A36" s="9">
        <v>24</v>
      </c>
      <c r="B36" s="9" t="s">
        <v>151</v>
      </c>
      <c r="C36" s="10" t="s">
        <v>507</v>
      </c>
      <c r="D36" s="10" t="s">
        <v>508</v>
      </c>
      <c r="E36" s="9" t="s">
        <v>485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7" t="s">
        <v>146</v>
      </c>
      <c r="T36" s="7" t="s">
        <v>146</v>
      </c>
      <c r="U36" s="7" t="s">
        <v>146</v>
      </c>
      <c r="V36" s="7" t="s">
        <v>146</v>
      </c>
      <c r="W36" s="7" t="s">
        <v>146</v>
      </c>
      <c r="X36" s="7" t="s">
        <v>146</v>
      </c>
      <c r="Y36" s="7" t="s">
        <v>146</v>
      </c>
      <c r="Z36" s="7" t="s">
        <v>146</v>
      </c>
      <c r="AA36" s="7" t="s">
        <v>146</v>
      </c>
      <c r="AB36" s="7" t="s">
        <v>146</v>
      </c>
      <c r="AC36" s="7" t="s">
        <v>146</v>
      </c>
      <c r="AD36" s="7" t="s">
        <v>146</v>
      </c>
      <c r="AE36" s="7" t="s">
        <v>146</v>
      </c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</row>
    <row r="37" spans="1:57" ht="22.05" customHeight="1" x14ac:dyDescent="0.3">
      <c r="A37" s="5">
        <v>25</v>
      </c>
      <c r="B37" s="5" t="s">
        <v>154</v>
      </c>
      <c r="C37" s="6" t="s">
        <v>509</v>
      </c>
      <c r="D37" s="6" t="s">
        <v>510</v>
      </c>
      <c r="E37" s="5" t="s">
        <v>485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7" t="s">
        <v>146</v>
      </c>
      <c r="X37" s="7" t="s">
        <v>146</v>
      </c>
      <c r="Y37" s="7" t="s">
        <v>146</v>
      </c>
      <c r="Z37" s="7" t="s">
        <v>146</v>
      </c>
      <c r="AA37" s="7" t="s">
        <v>146</v>
      </c>
      <c r="AB37" s="7" t="s">
        <v>146</v>
      </c>
      <c r="AC37" s="7" t="s">
        <v>146</v>
      </c>
      <c r="AD37" s="7" t="s">
        <v>146</v>
      </c>
      <c r="AE37" s="7" t="s">
        <v>146</v>
      </c>
      <c r="AF37" s="7" t="s">
        <v>146</v>
      </c>
      <c r="AG37" s="7" t="s">
        <v>146</v>
      </c>
      <c r="AH37" s="7" t="s">
        <v>146</v>
      </c>
      <c r="AI37" s="7" t="s">
        <v>146</v>
      </c>
      <c r="AJ37" s="7" t="s">
        <v>146</v>
      </c>
      <c r="AK37" s="7" t="s">
        <v>146</v>
      </c>
      <c r="AL37" s="7" t="s">
        <v>146</v>
      </c>
      <c r="AM37" s="7" t="s">
        <v>146</v>
      </c>
      <c r="AN37" s="7" t="s">
        <v>146</v>
      </c>
      <c r="AO37" s="7" t="s">
        <v>146</v>
      </c>
      <c r="AP37" s="7" t="s">
        <v>146</v>
      </c>
      <c r="AQ37" s="7" t="s">
        <v>146</v>
      </c>
      <c r="AR37" s="7" t="s">
        <v>146</v>
      </c>
      <c r="AS37" s="7" t="s">
        <v>146</v>
      </c>
      <c r="AT37" s="7" t="s">
        <v>146</v>
      </c>
      <c r="AU37" s="7" t="s">
        <v>146</v>
      </c>
      <c r="AV37" s="7" t="s">
        <v>146</v>
      </c>
      <c r="AW37" s="7" t="s">
        <v>146</v>
      </c>
      <c r="AX37" s="7" t="s">
        <v>146</v>
      </c>
      <c r="AY37" s="7" t="s">
        <v>146</v>
      </c>
      <c r="AZ37" s="7" t="s">
        <v>146</v>
      </c>
      <c r="BA37" s="7" t="s">
        <v>146</v>
      </c>
      <c r="BB37" s="7" t="s">
        <v>146</v>
      </c>
      <c r="BC37" s="7" t="s">
        <v>146</v>
      </c>
      <c r="BD37" s="7" t="s">
        <v>146</v>
      </c>
      <c r="BE37" s="7" t="s">
        <v>146</v>
      </c>
    </row>
    <row r="38" spans="1:57" ht="25.05" customHeight="1" x14ac:dyDescent="0.3">
      <c r="A38" s="35" t="s">
        <v>511</v>
      </c>
      <c r="B38" s="35"/>
      <c r="C38" s="35"/>
      <c r="D38" s="36" t="s">
        <v>512</v>
      </c>
      <c r="E38" s="3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spans="1:57" ht="22.05" customHeight="1" x14ac:dyDescent="0.3">
      <c r="A39" s="9">
        <v>26</v>
      </c>
      <c r="B39" s="9" t="s">
        <v>142</v>
      </c>
      <c r="C39" s="10" t="s">
        <v>513</v>
      </c>
      <c r="D39" s="10" t="s">
        <v>514</v>
      </c>
      <c r="E39" s="9" t="s">
        <v>448</v>
      </c>
      <c r="F39" s="11"/>
      <c r="G39" s="11"/>
      <c r="H39" s="11"/>
      <c r="I39" s="11"/>
      <c r="J39" s="11"/>
      <c r="K39" s="11"/>
      <c r="L39" s="11"/>
      <c r="M39" s="11"/>
      <c r="N39" s="7" t="s">
        <v>146</v>
      </c>
      <c r="O39" s="7" t="s">
        <v>146</v>
      </c>
      <c r="P39" s="7" t="s">
        <v>146</v>
      </c>
      <c r="Q39" s="7" t="s">
        <v>146</v>
      </c>
      <c r="R39" s="7" t="s">
        <v>146</v>
      </c>
      <c r="S39" s="7" t="s">
        <v>146</v>
      </c>
      <c r="T39" s="7" t="s">
        <v>146</v>
      </c>
      <c r="U39" s="7" t="s">
        <v>146</v>
      </c>
      <c r="V39" s="7" t="s">
        <v>146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</row>
    <row r="40" spans="1:57" ht="22.05" customHeight="1" x14ac:dyDescent="0.3">
      <c r="A40" s="5">
        <v>27</v>
      </c>
      <c r="B40" s="5" t="s">
        <v>147</v>
      </c>
      <c r="C40" s="6" t="s">
        <v>515</v>
      </c>
      <c r="D40" s="6" t="s">
        <v>516</v>
      </c>
      <c r="E40" s="5" t="s">
        <v>448</v>
      </c>
      <c r="F40" s="8"/>
      <c r="G40" s="8"/>
      <c r="H40" s="8"/>
      <c r="I40" s="8"/>
      <c r="J40" s="8"/>
      <c r="K40" s="8"/>
      <c r="L40" s="8"/>
      <c r="M40" s="8"/>
      <c r="N40" s="7" t="s">
        <v>146</v>
      </c>
      <c r="O40" s="7" t="s">
        <v>146</v>
      </c>
      <c r="P40" s="7" t="s">
        <v>146</v>
      </c>
      <c r="Q40" s="7" t="s">
        <v>146</v>
      </c>
      <c r="R40" s="7" t="s">
        <v>146</v>
      </c>
      <c r="S40" s="7" t="s">
        <v>146</v>
      </c>
      <c r="T40" s="7" t="s">
        <v>146</v>
      </c>
      <c r="U40" s="7" t="s">
        <v>146</v>
      </c>
      <c r="V40" s="7" t="s">
        <v>146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</row>
    <row r="41" spans="1:57" ht="22.05" customHeight="1" x14ac:dyDescent="0.3">
      <c r="A41" s="9">
        <v>28</v>
      </c>
      <c r="B41" s="9" t="s">
        <v>151</v>
      </c>
      <c r="C41" s="10" t="s">
        <v>517</v>
      </c>
      <c r="D41" s="10" t="s">
        <v>518</v>
      </c>
      <c r="E41" s="9" t="s">
        <v>448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7" t="s">
        <v>146</v>
      </c>
      <c r="T41" s="7" t="s">
        <v>146</v>
      </c>
      <c r="U41" s="7" t="s">
        <v>146</v>
      </c>
      <c r="V41" s="7" t="s">
        <v>146</v>
      </c>
      <c r="W41" s="7" t="s">
        <v>146</v>
      </c>
      <c r="X41" s="7" t="s">
        <v>146</v>
      </c>
      <c r="Y41" s="7" t="s">
        <v>146</v>
      </c>
      <c r="Z41" s="7" t="s">
        <v>146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</row>
    <row r="42" spans="1:57" ht="22.05" customHeight="1" x14ac:dyDescent="0.3">
      <c r="A42" s="5">
        <v>29</v>
      </c>
      <c r="B42" s="5" t="s">
        <v>154</v>
      </c>
      <c r="C42" s="6" t="s">
        <v>519</v>
      </c>
      <c r="D42" s="6" t="s">
        <v>520</v>
      </c>
      <c r="E42" s="5" t="s">
        <v>448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7" t="s">
        <v>146</v>
      </c>
      <c r="X42" s="7" t="s">
        <v>146</v>
      </c>
      <c r="Y42" s="7" t="s">
        <v>146</v>
      </c>
      <c r="Z42" s="7" t="s">
        <v>146</v>
      </c>
      <c r="AA42" s="7" t="s">
        <v>146</v>
      </c>
      <c r="AB42" s="7" t="s">
        <v>146</v>
      </c>
      <c r="AC42" s="7" t="s">
        <v>146</v>
      </c>
      <c r="AD42" s="7" t="s">
        <v>146</v>
      </c>
      <c r="AE42" s="7" t="s">
        <v>146</v>
      </c>
      <c r="AF42" s="7" t="s">
        <v>146</v>
      </c>
      <c r="AG42" s="7" t="s">
        <v>146</v>
      </c>
      <c r="AH42" s="7" t="s">
        <v>146</v>
      </c>
      <c r="AI42" s="7" t="s">
        <v>146</v>
      </c>
      <c r="AJ42" s="7" t="s">
        <v>146</v>
      </c>
      <c r="AK42" s="7" t="s">
        <v>146</v>
      </c>
      <c r="AL42" s="7" t="s">
        <v>146</v>
      </c>
      <c r="AM42" s="7" t="s">
        <v>146</v>
      </c>
      <c r="AN42" s="7" t="s">
        <v>146</v>
      </c>
      <c r="AO42" s="7" t="s">
        <v>146</v>
      </c>
      <c r="AP42" s="7" t="s">
        <v>146</v>
      </c>
      <c r="AQ42" s="7" t="s">
        <v>146</v>
      </c>
      <c r="AR42" s="7" t="s">
        <v>146</v>
      </c>
      <c r="AS42" s="7" t="s">
        <v>146</v>
      </c>
      <c r="AT42" s="7" t="s">
        <v>146</v>
      </c>
      <c r="AU42" s="7" t="s">
        <v>146</v>
      </c>
      <c r="AV42" s="7" t="s">
        <v>146</v>
      </c>
      <c r="AW42" s="7" t="s">
        <v>146</v>
      </c>
      <c r="AX42" s="7" t="s">
        <v>146</v>
      </c>
      <c r="AY42" s="7" t="s">
        <v>146</v>
      </c>
      <c r="AZ42" s="7" t="s">
        <v>146</v>
      </c>
      <c r="BA42" s="7" t="s">
        <v>146</v>
      </c>
      <c r="BB42" s="7" t="s">
        <v>146</v>
      </c>
      <c r="BC42" s="7" t="s">
        <v>146</v>
      </c>
      <c r="BD42" s="7" t="s">
        <v>146</v>
      </c>
      <c r="BE42" s="7" t="s">
        <v>146</v>
      </c>
    </row>
    <row r="43" spans="1:57" ht="25.05" customHeight="1" x14ac:dyDescent="0.3">
      <c r="A43" s="35" t="s">
        <v>521</v>
      </c>
      <c r="B43" s="35"/>
      <c r="C43" s="35"/>
      <c r="D43" s="36" t="s">
        <v>522</v>
      </c>
      <c r="E43" s="3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</row>
    <row r="44" spans="1:57" ht="22.05" customHeight="1" x14ac:dyDescent="0.3">
      <c r="A44" s="9">
        <v>30</v>
      </c>
      <c r="B44" s="9" t="s">
        <v>142</v>
      </c>
      <c r="C44" s="10" t="s">
        <v>523</v>
      </c>
      <c r="D44" s="10" t="s">
        <v>524</v>
      </c>
      <c r="E44" s="9" t="s">
        <v>448</v>
      </c>
      <c r="F44" s="7" t="s">
        <v>146</v>
      </c>
      <c r="G44" s="7" t="s">
        <v>146</v>
      </c>
      <c r="H44" s="7" t="s">
        <v>146</v>
      </c>
      <c r="I44" s="7" t="s">
        <v>146</v>
      </c>
      <c r="J44" s="7" t="s">
        <v>146</v>
      </c>
      <c r="K44" s="7" t="s">
        <v>146</v>
      </c>
      <c r="L44" s="7" t="s">
        <v>146</v>
      </c>
      <c r="M44" s="7" t="s">
        <v>146</v>
      </c>
      <c r="N44" s="7" t="s">
        <v>146</v>
      </c>
      <c r="O44" s="7" t="s">
        <v>146</v>
      </c>
      <c r="P44" s="7" t="s">
        <v>146</v>
      </c>
      <c r="Q44" s="7" t="s">
        <v>146</v>
      </c>
      <c r="R44" s="7" t="s">
        <v>146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</row>
    <row r="45" spans="1:57" ht="22.05" customHeight="1" x14ac:dyDescent="0.3">
      <c r="A45" s="5">
        <v>31</v>
      </c>
      <c r="B45" s="5" t="s">
        <v>147</v>
      </c>
      <c r="C45" s="6" t="s">
        <v>525</v>
      </c>
      <c r="D45" s="6" t="s">
        <v>526</v>
      </c>
      <c r="E45" s="5" t="s">
        <v>448</v>
      </c>
      <c r="F45" s="7" t="s">
        <v>146</v>
      </c>
      <c r="G45" s="7" t="s">
        <v>146</v>
      </c>
      <c r="H45" s="7" t="s">
        <v>146</v>
      </c>
      <c r="I45" s="7" t="s">
        <v>146</v>
      </c>
      <c r="J45" s="7" t="s">
        <v>146</v>
      </c>
      <c r="K45" s="7" t="s">
        <v>146</v>
      </c>
      <c r="L45" s="7" t="s">
        <v>146</v>
      </c>
      <c r="M45" s="7" t="s">
        <v>146</v>
      </c>
      <c r="N45" s="7" t="s">
        <v>146</v>
      </c>
      <c r="O45" s="7" t="s">
        <v>146</v>
      </c>
      <c r="P45" s="7" t="s">
        <v>146</v>
      </c>
      <c r="Q45" s="7" t="s">
        <v>146</v>
      </c>
      <c r="R45" s="7" t="s">
        <v>146</v>
      </c>
      <c r="S45" s="7" t="s">
        <v>146</v>
      </c>
      <c r="T45" s="7" t="s">
        <v>146</v>
      </c>
      <c r="U45" s="7" t="s">
        <v>146</v>
      </c>
      <c r="V45" s="7" t="s">
        <v>146</v>
      </c>
      <c r="W45" s="7" t="s">
        <v>146</v>
      </c>
      <c r="X45" s="7" t="s">
        <v>146</v>
      </c>
      <c r="Y45" s="7" t="s">
        <v>146</v>
      </c>
      <c r="Z45" s="7" t="s">
        <v>146</v>
      </c>
      <c r="AA45" s="7" t="s">
        <v>146</v>
      </c>
      <c r="AB45" s="7" t="s">
        <v>146</v>
      </c>
      <c r="AC45" s="7" t="s">
        <v>146</v>
      </c>
      <c r="AD45" s="7" t="s">
        <v>146</v>
      </c>
      <c r="AE45" s="7" t="s">
        <v>146</v>
      </c>
      <c r="AF45" s="7" t="s">
        <v>146</v>
      </c>
      <c r="AG45" s="7" t="s">
        <v>146</v>
      </c>
      <c r="AH45" s="7" t="s">
        <v>146</v>
      </c>
      <c r="AI45" s="7" t="s">
        <v>146</v>
      </c>
      <c r="AJ45" s="7" t="s">
        <v>146</v>
      </c>
      <c r="AK45" s="7" t="s">
        <v>146</v>
      </c>
      <c r="AL45" s="7" t="s">
        <v>146</v>
      </c>
      <c r="AM45" s="7" t="s">
        <v>146</v>
      </c>
      <c r="AN45" s="7" t="s">
        <v>146</v>
      </c>
      <c r="AO45" s="7" t="s">
        <v>146</v>
      </c>
      <c r="AP45" s="7" t="s">
        <v>146</v>
      </c>
      <c r="AQ45" s="7" t="s">
        <v>146</v>
      </c>
      <c r="AR45" s="7" t="s">
        <v>146</v>
      </c>
      <c r="AS45" s="7" t="s">
        <v>146</v>
      </c>
      <c r="AT45" s="7" t="s">
        <v>146</v>
      </c>
      <c r="AU45" s="7" t="s">
        <v>146</v>
      </c>
      <c r="AV45" s="7" t="s">
        <v>146</v>
      </c>
      <c r="AW45" s="8"/>
      <c r="AX45" s="8"/>
      <c r="AY45" s="8"/>
      <c r="AZ45" s="8"/>
      <c r="BA45" s="8"/>
      <c r="BB45" s="8"/>
      <c r="BC45" s="8"/>
      <c r="BD45" s="8"/>
      <c r="BE45" s="8"/>
    </row>
    <row r="46" spans="1:57" ht="22.05" customHeight="1" x14ac:dyDescent="0.3">
      <c r="A46" s="9">
        <v>32</v>
      </c>
      <c r="B46" s="9" t="s">
        <v>151</v>
      </c>
      <c r="C46" s="10" t="s">
        <v>527</v>
      </c>
      <c r="D46" s="10" t="s">
        <v>528</v>
      </c>
      <c r="E46" s="9" t="s">
        <v>448</v>
      </c>
      <c r="F46" s="7" t="s">
        <v>146</v>
      </c>
      <c r="G46" s="7" t="s">
        <v>146</v>
      </c>
      <c r="H46" s="7" t="s">
        <v>146</v>
      </c>
      <c r="I46" s="7" t="s">
        <v>146</v>
      </c>
      <c r="J46" s="7" t="s">
        <v>146</v>
      </c>
      <c r="K46" s="7" t="s">
        <v>146</v>
      </c>
      <c r="L46" s="7" t="s">
        <v>146</v>
      </c>
      <c r="M46" s="7" t="s">
        <v>146</v>
      </c>
      <c r="N46" s="7" t="s">
        <v>146</v>
      </c>
      <c r="O46" s="7" t="s">
        <v>146</v>
      </c>
      <c r="P46" s="7" t="s">
        <v>146</v>
      </c>
      <c r="Q46" s="7" t="s">
        <v>146</v>
      </c>
      <c r="R46" s="7" t="s">
        <v>146</v>
      </c>
      <c r="S46" s="7" t="s">
        <v>146</v>
      </c>
      <c r="T46" s="7" t="s">
        <v>146</v>
      </c>
      <c r="U46" s="7" t="s">
        <v>146</v>
      </c>
      <c r="V46" s="7" t="s">
        <v>146</v>
      </c>
      <c r="W46" s="7" t="s">
        <v>146</v>
      </c>
      <c r="X46" s="7" t="s">
        <v>146</v>
      </c>
      <c r="Y46" s="7" t="s">
        <v>146</v>
      </c>
      <c r="Z46" s="7" t="s">
        <v>146</v>
      </c>
      <c r="AA46" s="7" t="s">
        <v>146</v>
      </c>
      <c r="AB46" s="7" t="s">
        <v>146</v>
      </c>
      <c r="AC46" s="7" t="s">
        <v>146</v>
      </c>
      <c r="AD46" s="7" t="s">
        <v>146</v>
      </c>
      <c r="AE46" s="7" t="s">
        <v>146</v>
      </c>
      <c r="AF46" s="7" t="s">
        <v>146</v>
      </c>
      <c r="AG46" s="7" t="s">
        <v>146</v>
      </c>
      <c r="AH46" s="7" t="s">
        <v>146</v>
      </c>
      <c r="AI46" s="7" t="s">
        <v>146</v>
      </c>
      <c r="AJ46" s="7" t="s">
        <v>146</v>
      </c>
      <c r="AK46" s="7" t="s">
        <v>146</v>
      </c>
      <c r="AL46" s="7" t="s">
        <v>146</v>
      </c>
      <c r="AM46" s="7" t="s">
        <v>146</v>
      </c>
      <c r="AN46" s="7" t="s">
        <v>146</v>
      </c>
      <c r="AO46" s="7" t="s">
        <v>146</v>
      </c>
      <c r="AP46" s="7" t="s">
        <v>146</v>
      </c>
      <c r="AQ46" s="7" t="s">
        <v>146</v>
      </c>
      <c r="AR46" s="7" t="s">
        <v>146</v>
      </c>
      <c r="AS46" s="7" t="s">
        <v>146</v>
      </c>
      <c r="AT46" s="7" t="s">
        <v>146</v>
      </c>
      <c r="AU46" s="7" t="s">
        <v>146</v>
      </c>
      <c r="AV46" s="7" t="s">
        <v>146</v>
      </c>
      <c r="AW46" s="11"/>
      <c r="AX46" s="11"/>
      <c r="AY46" s="11"/>
      <c r="AZ46" s="11"/>
      <c r="BA46" s="11"/>
      <c r="BB46" s="11"/>
      <c r="BC46" s="11"/>
      <c r="BD46" s="11"/>
      <c r="BE46" s="11"/>
    </row>
    <row r="47" spans="1:57" ht="28.05" customHeight="1" x14ac:dyDescent="0.3">
      <c r="A47" s="34" t="s">
        <v>529</v>
      </c>
      <c r="B47" s="34"/>
      <c r="C47" s="34"/>
      <c r="D47" s="34"/>
      <c r="E47" s="3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 ht="25.05" customHeight="1" x14ac:dyDescent="0.3">
      <c r="A48" s="35" t="s">
        <v>530</v>
      </c>
      <c r="B48" s="35"/>
      <c r="C48" s="35"/>
      <c r="D48" s="36" t="s">
        <v>531</v>
      </c>
      <c r="E48" s="3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</row>
    <row r="49" spans="1:57" ht="22.05" customHeight="1" x14ac:dyDescent="0.3">
      <c r="A49" s="5">
        <v>33</v>
      </c>
      <c r="B49" s="5" t="s">
        <v>142</v>
      </c>
      <c r="C49" s="6" t="s">
        <v>532</v>
      </c>
      <c r="D49" s="6" t="s">
        <v>533</v>
      </c>
      <c r="E49" s="5" t="s">
        <v>534</v>
      </c>
      <c r="F49" s="8"/>
      <c r="G49" s="8"/>
      <c r="H49" s="8"/>
      <c r="I49" s="8"/>
      <c r="J49" s="8"/>
      <c r="K49" s="8"/>
      <c r="L49" s="8"/>
      <c r="M49" s="8"/>
      <c r="N49" s="7" t="s">
        <v>146</v>
      </c>
      <c r="O49" s="7" t="s">
        <v>146</v>
      </c>
      <c r="P49" s="7" t="s">
        <v>146</v>
      </c>
      <c r="Q49" s="7" t="s">
        <v>146</v>
      </c>
      <c r="R49" s="7" t="s">
        <v>146</v>
      </c>
      <c r="S49" s="7" t="s">
        <v>146</v>
      </c>
      <c r="T49" s="7" t="s">
        <v>146</v>
      </c>
      <c r="U49" s="7" t="s">
        <v>146</v>
      </c>
      <c r="V49" s="7" t="s">
        <v>146</v>
      </c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</row>
    <row r="50" spans="1:57" ht="22.05" customHeight="1" x14ac:dyDescent="0.3">
      <c r="A50" s="9">
        <v>34</v>
      </c>
      <c r="B50" s="9" t="s">
        <v>147</v>
      </c>
      <c r="C50" s="10" t="s">
        <v>535</v>
      </c>
      <c r="D50" s="10" t="s">
        <v>536</v>
      </c>
      <c r="E50" s="9" t="s">
        <v>534</v>
      </c>
      <c r="F50" s="11"/>
      <c r="G50" s="11"/>
      <c r="H50" s="11"/>
      <c r="I50" s="11"/>
      <c r="J50" s="11"/>
      <c r="K50" s="11"/>
      <c r="L50" s="11"/>
      <c r="M50" s="11"/>
      <c r="N50" s="7" t="s">
        <v>146</v>
      </c>
      <c r="O50" s="7" t="s">
        <v>146</v>
      </c>
      <c r="P50" s="7" t="s">
        <v>146</v>
      </c>
      <c r="Q50" s="7" t="s">
        <v>146</v>
      </c>
      <c r="R50" s="7" t="s">
        <v>146</v>
      </c>
      <c r="S50" s="7" t="s">
        <v>146</v>
      </c>
      <c r="T50" s="7" t="s">
        <v>146</v>
      </c>
      <c r="U50" s="7" t="s">
        <v>146</v>
      </c>
      <c r="V50" s="7" t="s">
        <v>146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7" t="s">
        <v>146</v>
      </c>
      <c r="AK50" s="7" t="s">
        <v>146</v>
      </c>
      <c r="AL50" s="7" t="s">
        <v>146</v>
      </c>
      <c r="AM50" s="7" t="s">
        <v>146</v>
      </c>
      <c r="AN50" s="7" t="s">
        <v>146</v>
      </c>
      <c r="AO50" s="7" t="s">
        <v>146</v>
      </c>
      <c r="AP50" s="7" t="s">
        <v>146</v>
      </c>
      <c r="AQ50" s="7" t="s">
        <v>146</v>
      </c>
      <c r="AR50" s="7" t="s">
        <v>146</v>
      </c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</row>
    <row r="51" spans="1:57" ht="22.05" customHeight="1" x14ac:dyDescent="0.3">
      <c r="A51" s="5">
        <v>35</v>
      </c>
      <c r="B51" s="5" t="s">
        <v>151</v>
      </c>
      <c r="C51" s="6" t="s">
        <v>537</v>
      </c>
      <c r="D51" s="6" t="s">
        <v>538</v>
      </c>
      <c r="E51" s="5" t="s">
        <v>539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7" t="s">
        <v>146</v>
      </c>
      <c r="X51" s="7" t="s">
        <v>146</v>
      </c>
      <c r="Y51" s="7" t="s">
        <v>146</v>
      </c>
      <c r="Z51" s="7" t="s">
        <v>146</v>
      </c>
      <c r="AA51" s="7" t="s">
        <v>146</v>
      </c>
      <c r="AB51" s="7" t="s">
        <v>146</v>
      </c>
      <c r="AC51" s="7" t="s">
        <v>146</v>
      </c>
      <c r="AD51" s="7" t="s">
        <v>146</v>
      </c>
      <c r="AE51" s="7" t="s">
        <v>146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7" t="s">
        <v>146</v>
      </c>
      <c r="AT51" s="7" t="s">
        <v>146</v>
      </c>
      <c r="AU51" s="7" t="s">
        <v>146</v>
      </c>
      <c r="AV51" s="7" t="s">
        <v>146</v>
      </c>
      <c r="AW51" s="7" t="s">
        <v>146</v>
      </c>
      <c r="AX51" s="7" t="s">
        <v>146</v>
      </c>
      <c r="AY51" s="7" t="s">
        <v>146</v>
      </c>
      <c r="AZ51" s="7" t="s">
        <v>146</v>
      </c>
      <c r="BA51" s="7" t="s">
        <v>146</v>
      </c>
      <c r="BB51" s="8"/>
      <c r="BC51" s="8"/>
      <c r="BD51" s="8"/>
      <c r="BE51" s="8"/>
    </row>
    <row r="52" spans="1:57" ht="25.05" customHeight="1" x14ac:dyDescent="0.3">
      <c r="A52" s="35" t="s">
        <v>540</v>
      </c>
      <c r="B52" s="35"/>
      <c r="C52" s="35"/>
      <c r="D52" s="36" t="s">
        <v>541</v>
      </c>
      <c r="E52" s="3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ht="22.05" customHeight="1" x14ac:dyDescent="0.3">
      <c r="A53" s="9">
        <v>36</v>
      </c>
      <c r="B53" s="9" t="s">
        <v>142</v>
      </c>
      <c r="C53" s="10" t="s">
        <v>542</v>
      </c>
      <c r="D53" s="10" t="s">
        <v>543</v>
      </c>
      <c r="E53" s="9" t="s">
        <v>448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7" t="s">
        <v>146</v>
      </c>
      <c r="AK53" s="7" t="s">
        <v>146</v>
      </c>
      <c r="AL53" s="7" t="s">
        <v>146</v>
      </c>
      <c r="AM53" s="7" t="s">
        <v>146</v>
      </c>
      <c r="AN53" s="7" t="s">
        <v>146</v>
      </c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</row>
    <row r="54" spans="1:57" ht="22.05" customHeight="1" x14ac:dyDescent="0.3">
      <c r="A54" s="5">
        <v>37</v>
      </c>
      <c r="B54" s="5" t="s">
        <v>147</v>
      </c>
      <c r="C54" s="6" t="s">
        <v>544</v>
      </c>
      <c r="D54" s="6" t="s">
        <v>545</v>
      </c>
      <c r="E54" s="5" t="s">
        <v>448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7" t="s">
        <v>146</v>
      </c>
      <c r="AK54" s="7" t="s">
        <v>146</v>
      </c>
      <c r="AL54" s="7" t="s">
        <v>146</v>
      </c>
      <c r="AM54" s="7" t="s">
        <v>146</v>
      </c>
      <c r="AN54" s="7" t="s">
        <v>146</v>
      </c>
      <c r="AO54" s="7" t="s">
        <v>146</v>
      </c>
      <c r="AP54" s="7" t="s">
        <v>146</v>
      </c>
      <c r="AQ54" s="7" t="s">
        <v>146</v>
      </c>
      <c r="AR54" s="7" t="s">
        <v>146</v>
      </c>
      <c r="AS54" s="7" t="s">
        <v>146</v>
      </c>
      <c r="AT54" s="7" t="s">
        <v>146</v>
      </c>
      <c r="AU54" s="7" t="s">
        <v>146</v>
      </c>
      <c r="AV54" s="7" t="s">
        <v>146</v>
      </c>
      <c r="AW54" s="8"/>
      <c r="AX54" s="8"/>
      <c r="AY54" s="8"/>
      <c r="AZ54" s="8"/>
      <c r="BA54" s="8"/>
      <c r="BB54" s="8"/>
      <c r="BC54" s="8"/>
      <c r="BD54" s="8"/>
      <c r="BE54" s="8"/>
    </row>
    <row r="55" spans="1:57" ht="22.05" customHeight="1" x14ac:dyDescent="0.3">
      <c r="A55" s="9">
        <v>38</v>
      </c>
      <c r="B55" s="9" t="s">
        <v>151</v>
      </c>
      <c r="C55" s="10" t="s">
        <v>546</v>
      </c>
      <c r="D55" s="10" t="s">
        <v>536</v>
      </c>
      <c r="E55" s="9" t="s">
        <v>547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7" t="s">
        <v>146</v>
      </c>
      <c r="AT55" s="7" t="s">
        <v>146</v>
      </c>
      <c r="AU55" s="7" t="s">
        <v>146</v>
      </c>
      <c r="AV55" s="7" t="s">
        <v>146</v>
      </c>
      <c r="AW55" s="7" t="s">
        <v>146</v>
      </c>
      <c r="AX55" s="7" t="s">
        <v>146</v>
      </c>
      <c r="AY55" s="7" t="s">
        <v>146</v>
      </c>
      <c r="AZ55" s="7" t="s">
        <v>146</v>
      </c>
      <c r="BA55" s="7" t="s">
        <v>146</v>
      </c>
      <c r="BB55" s="11"/>
      <c r="BC55" s="11"/>
      <c r="BD55" s="11"/>
      <c r="BE55" s="11"/>
    </row>
    <row r="56" spans="1:57" ht="22.05" customHeight="1" x14ac:dyDescent="0.3">
      <c r="A56" s="5">
        <v>39</v>
      </c>
      <c r="B56" s="5" t="s">
        <v>154</v>
      </c>
      <c r="C56" s="6" t="s">
        <v>548</v>
      </c>
      <c r="D56" s="6" t="s">
        <v>205</v>
      </c>
      <c r="E56" s="5" t="s">
        <v>547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7" t="s">
        <v>146</v>
      </c>
      <c r="AX56" s="7" t="s">
        <v>146</v>
      </c>
      <c r="AY56" s="7" t="s">
        <v>146</v>
      </c>
      <c r="AZ56" s="7" t="s">
        <v>146</v>
      </c>
      <c r="BA56" s="7" t="s">
        <v>146</v>
      </c>
      <c r="BB56" s="7" t="s">
        <v>146</v>
      </c>
      <c r="BC56" s="7" t="s">
        <v>146</v>
      </c>
      <c r="BD56" s="7" t="s">
        <v>146</v>
      </c>
      <c r="BE56" s="7" t="s">
        <v>146</v>
      </c>
    </row>
    <row r="57" spans="1:57" ht="25.05" customHeight="1" x14ac:dyDescent="0.3">
      <c r="A57" s="35" t="s">
        <v>549</v>
      </c>
      <c r="B57" s="35"/>
      <c r="C57" s="35"/>
      <c r="D57" s="36" t="s">
        <v>550</v>
      </c>
      <c r="E57" s="3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</row>
    <row r="58" spans="1:57" ht="22.05" customHeight="1" x14ac:dyDescent="0.3">
      <c r="A58" s="9">
        <v>40</v>
      </c>
      <c r="B58" s="9" t="s">
        <v>142</v>
      </c>
      <c r="C58" s="10" t="s">
        <v>551</v>
      </c>
      <c r="D58" s="10" t="s">
        <v>552</v>
      </c>
      <c r="E58" s="9" t="s">
        <v>461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7" t="s">
        <v>146</v>
      </c>
      <c r="AK58" s="7" t="s">
        <v>146</v>
      </c>
      <c r="AL58" s="7" t="s">
        <v>146</v>
      </c>
      <c r="AM58" s="7" t="s">
        <v>146</v>
      </c>
      <c r="AN58" s="7" t="s">
        <v>146</v>
      </c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</row>
    <row r="59" spans="1:57" ht="22.05" customHeight="1" x14ac:dyDescent="0.3">
      <c r="A59" s="5">
        <v>41</v>
      </c>
      <c r="B59" s="5" t="s">
        <v>147</v>
      </c>
      <c r="C59" s="6" t="s">
        <v>553</v>
      </c>
      <c r="D59" s="6" t="s">
        <v>554</v>
      </c>
      <c r="E59" s="5" t="s">
        <v>461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7" t="s">
        <v>146</v>
      </c>
      <c r="AK59" s="7" t="s">
        <v>146</v>
      </c>
      <c r="AL59" s="7" t="s">
        <v>146</v>
      </c>
      <c r="AM59" s="7" t="s">
        <v>146</v>
      </c>
      <c r="AN59" s="7" t="s">
        <v>146</v>
      </c>
      <c r="AO59" s="7" t="s">
        <v>146</v>
      </c>
      <c r="AP59" s="7" t="s">
        <v>146</v>
      </c>
      <c r="AQ59" s="7" t="s">
        <v>146</v>
      </c>
      <c r="AR59" s="7" t="s">
        <v>146</v>
      </c>
      <c r="AS59" s="7" t="s">
        <v>146</v>
      </c>
      <c r="AT59" s="7" t="s">
        <v>146</v>
      </c>
      <c r="AU59" s="7" t="s">
        <v>146</v>
      </c>
      <c r="AV59" s="7" t="s">
        <v>146</v>
      </c>
      <c r="AW59" s="8"/>
      <c r="AX59" s="8"/>
      <c r="AY59" s="8"/>
      <c r="AZ59" s="8"/>
      <c r="BA59" s="8"/>
      <c r="BB59" s="8"/>
      <c r="BC59" s="8"/>
      <c r="BD59" s="8"/>
      <c r="BE59" s="8"/>
    </row>
    <row r="60" spans="1:57" ht="22.05" customHeight="1" x14ac:dyDescent="0.3">
      <c r="A60" s="9">
        <v>42</v>
      </c>
      <c r="B60" s="9" t="s">
        <v>151</v>
      </c>
      <c r="C60" s="10" t="s">
        <v>555</v>
      </c>
      <c r="D60" s="10" t="s">
        <v>556</v>
      </c>
      <c r="E60" s="9" t="s">
        <v>461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7" t="s">
        <v>146</v>
      </c>
      <c r="AT60" s="7" t="s">
        <v>146</v>
      </c>
      <c r="AU60" s="7" t="s">
        <v>146</v>
      </c>
      <c r="AV60" s="7" t="s">
        <v>146</v>
      </c>
      <c r="AW60" s="7" t="s">
        <v>146</v>
      </c>
      <c r="AX60" s="7" t="s">
        <v>146</v>
      </c>
      <c r="AY60" s="7" t="s">
        <v>146</v>
      </c>
      <c r="AZ60" s="7" t="s">
        <v>146</v>
      </c>
      <c r="BA60" s="7" t="s">
        <v>146</v>
      </c>
      <c r="BB60" s="11"/>
      <c r="BC60" s="11"/>
      <c r="BD60" s="11"/>
      <c r="BE60" s="11"/>
    </row>
    <row r="61" spans="1:57" ht="22.05" customHeight="1" x14ac:dyDescent="0.3">
      <c r="A61" s="5">
        <v>43</v>
      </c>
      <c r="B61" s="5" t="s">
        <v>154</v>
      </c>
      <c r="C61" s="6" t="s">
        <v>557</v>
      </c>
      <c r="D61" s="6" t="s">
        <v>558</v>
      </c>
      <c r="E61" s="5" t="s">
        <v>448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7" t="s">
        <v>146</v>
      </c>
      <c r="AX61" s="7" t="s">
        <v>146</v>
      </c>
      <c r="AY61" s="7" t="s">
        <v>146</v>
      </c>
      <c r="AZ61" s="7" t="s">
        <v>146</v>
      </c>
      <c r="BA61" s="7" t="s">
        <v>146</v>
      </c>
      <c r="BB61" s="7" t="s">
        <v>146</v>
      </c>
      <c r="BC61" s="7" t="s">
        <v>146</v>
      </c>
      <c r="BD61" s="7" t="s">
        <v>146</v>
      </c>
      <c r="BE61" s="7" t="s">
        <v>146</v>
      </c>
    </row>
    <row r="62" spans="1:57" ht="28.05" customHeight="1" x14ac:dyDescent="0.3">
      <c r="A62" s="34" t="s">
        <v>559</v>
      </c>
      <c r="B62" s="34"/>
      <c r="C62" s="34"/>
      <c r="D62" s="34"/>
      <c r="E62" s="3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 ht="25.05" customHeight="1" x14ac:dyDescent="0.3">
      <c r="A63" s="35" t="s">
        <v>560</v>
      </c>
      <c r="B63" s="35"/>
      <c r="C63" s="35"/>
      <c r="D63" s="36" t="s">
        <v>561</v>
      </c>
      <c r="E63" s="3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</row>
    <row r="64" spans="1:57" ht="22.05" customHeight="1" x14ac:dyDescent="0.3">
      <c r="A64" s="9">
        <v>44</v>
      </c>
      <c r="B64" s="9" t="s">
        <v>142</v>
      </c>
      <c r="C64" s="10" t="s">
        <v>562</v>
      </c>
      <c r="D64" s="10" t="s">
        <v>563</v>
      </c>
      <c r="E64" s="9" t="s">
        <v>448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7" t="s">
        <v>146</v>
      </c>
      <c r="T64" s="7" t="s">
        <v>146</v>
      </c>
      <c r="U64" s="7" t="s">
        <v>146</v>
      </c>
      <c r="V64" s="7" t="s">
        <v>146</v>
      </c>
      <c r="W64" s="7" t="s">
        <v>146</v>
      </c>
      <c r="X64" s="7" t="s">
        <v>146</v>
      </c>
      <c r="Y64" s="7" t="s">
        <v>146</v>
      </c>
      <c r="Z64" s="7" t="s">
        <v>146</v>
      </c>
      <c r="AA64" s="7" t="s">
        <v>146</v>
      </c>
      <c r="AB64" s="7" t="s">
        <v>146</v>
      </c>
      <c r="AC64" s="7" t="s">
        <v>146</v>
      </c>
      <c r="AD64" s="7" t="s">
        <v>146</v>
      </c>
      <c r="AE64" s="7" t="s">
        <v>146</v>
      </c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</row>
    <row r="65" spans="1:57" ht="22.05" customHeight="1" x14ac:dyDescent="0.3">
      <c r="A65" s="5">
        <v>45</v>
      </c>
      <c r="B65" s="5" t="s">
        <v>147</v>
      </c>
      <c r="C65" s="6" t="s">
        <v>564</v>
      </c>
      <c r="D65" s="6" t="s">
        <v>565</v>
      </c>
      <c r="E65" s="5" t="s">
        <v>448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7" t="s">
        <v>146</v>
      </c>
      <c r="T65" s="7" t="s">
        <v>146</v>
      </c>
      <c r="U65" s="7" t="s">
        <v>146</v>
      </c>
      <c r="V65" s="7" t="s">
        <v>146</v>
      </c>
      <c r="W65" s="7" t="s">
        <v>146</v>
      </c>
      <c r="X65" s="7" t="s">
        <v>146</v>
      </c>
      <c r="Y65" s="7" t="s">
        <v>146</v>
      </c>
      <c r="Z65" s="7" t="s">
        <v>146</v>
      </c>
      <c r="AA65" s="7" t="s">
        <v>146</v>
      </c>
      <c r="AB65" s="7" t="s">
        <v>146</v>
      </c>
      <c r="AC65" s="7" t="s">
        <v>146</v>
      </c>
      <c r="AD65" s="7" t="s">
        <v>146</v>
      </c>
      <c r="AE65" s="7" t="s">
        <v>146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</row>
    <row r="66" spans="1:57" ht="22.05" customHeight="1" x14ac:dyDescent="0.3">
      <c r="A66" s="9">
        <v>46</v>
      </c>
      <c r="B66" s="9" t="s">
        <v>151</v>
      </c>
      <c r="C66" s="10" t="s">
        <v>566</v>
      </c>
      <c r="D66" s="10" t="s">
        <v>567</v>
      </c>
      <c r="E66" s="9" t="s">
        <v>448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7" t="s">
        <v>146</v>
      </c>
      <c r="AP66" s="7" t="s">
        <v>146</v>
      </c>
      <c r="AQ66" s="7" t="s">
        <v>146</v>
      </c>
      <c r="AR66" s="7" t="s">
        <v>146</v>
      </c>
      <c r="AS66" s="7" t="s">
        <v>146</v>
      </c>
      <c r="AT66" s="7" t="s">
        <v>146</v>
      </c>
      <c r="AU66" s="7" t="s">
        <v>146</v>
      </c>
      <c r="AV66" s="7" t="s">
        <v>146</v>
      </c>
      <c r="AW66" s="11"/>
      <c r="AX66" s="11"/>
      <c r="AY66" s="11"/>
      <c r="AZ66" s="11"/>
      <c r="BA66" s="11"/>
      <c r="BB66" s="11"/>
      <c r="BC66" s="11"/>
      <c r="BD66" s="11"/>
      <c r="BE66" s="11"/>
    </row>
    <row r="67" spans="1:57" ht="22.05" customHeight="1" x14ac:dyDescent="0.3">
      <c r="A67" s="5">
        <v>47</v>
      </c>
      <c r="B67" s="5" t="s">
        <v>154</v>
      </c>
      <c r="C67" s="6" t="s">
        <v>282</v>
      </c>
      <c r="D67" s="6" t="s">
        <v>568</v>
      </c>
      <c r="E67" s="5" t="s">
        <v>448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7" t="s">
        <v>146</v>
      </c>
      <c r="AT67" s="7" t="s">
        <v>146</v>
      </c>
      <c r="AU67" s="7" t="s">
        <v>146</v>
      </c>
      <c r="AV67" s="7" t="s">
        <v>146</v>
      </c>
      <c r="AW67" s="7" t="s">
        <v>146</v>
      </c>
      <c r="AX67" s="7" t="s">
        <v>146</v>
      </c>
      <c r="AY67" s="7" t="s">
        <v>146</v>
      </c>
      <c r="AZ67" s="7" t="s">
        <v>146</v>
      </c>
      <c r="BA67" s="7" t="s">
        <v>146</v>
      </c>
      <c r="BB67" s="7" t="s">
        <v>146</v>
      </c>
      <c r="BC67" s="7" t="s">
        <v>146</v>
      </c>
      <c r="BD67" s="7" t="s">
        <v>146</v>
      </c>
      <c r="BE67" s="7" t="s">
        <v>146</v>
      </c>
    </row>
    <row r="68" spans="1:57" ht="25.05" customHeight="1" x14ac:dyDescent="0.3">
      <c r="A68" s="35" t="s">
        <v>569</v>
      </c>
      <c r="B68" s="35"/>
      <c r="C68" s="35"/>
      <c r="D68" s="36" t="s">
        <v>570</v>
      </c>
      <c r="E68" s="3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</row>
    <row r="69" spans="1:57" ht="22.05" customHeight="1" x14ac:dyDescent="0.3">
      <c r="A69" s="9">
        <v>48</v>
      </c>
      <c r="B69" s="9" t="s">
        <v>142</v>
      </c>
      <c r="C69" s="10" t="s">
        <v>571</v>
      </c>
      <c r="D69" s="10" t="s">
        <v>572</v>
      </c>
      <c r="E69" s="9" t="s">
        <v>461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7" t="s">
        <v>146</v>
      </c>
      <c r="AG69" s="7" t="s">
        <v>146</v>
      </c>
      <c r="AH69" s="7" t="s">
        <v>146</v>
      </c>
      <c r="AI69" s="7" t="s">
        <v>146</v>
      </c>
      <c r="AJ69" s="7" t="s">
        <v>146</v>
      </c>
      <c r="AK69" s="7" t="s">
        <v>146</v>
      </c>
      <c r="AL69" s="7" t="s">
        <v>146</v>
      </c>
      <c r="AM69" s="7" t="s">
        <v>146</v>
      </c>
      <c r="AN69" s="7" t="s">
        <v>146</v>
      </c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</row>
    <row r="70" spans="1:57" ht="22.05" customHeight="1" x14ac:dyDescent="0.3">
      <c r="A70" s="5">
        <v>49</v>
      </c>
      <c r="B70" s="5" t="s">
        <v>147</v>
      </c>
      <c r="C70" s="6" t="s">
        <v>343</v>
      </c>
      <c r="D70" s="6" t="s">
        <v>573</v>
      </c>
      <c r="E70" s="5" t="s">
        <v>574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7" t="s">
        <v>146</v>
      </c>
      <c r="AK70" s="7" t="s">
        <v>146</v>
      </c>
      <c r="AL70" s="7" t="s">
        <v>146</v>
      </c>
      <c r="AM70" s="7" t="s">
        <v>146</v>
      </c>
      <c r="AN70" s="7" t="s">
        <v>146</v>
      </c>
      <c r="AO70" s="7" t="s">
        <v>146</v>
      </c>
      <c r="AP70" s="7" t="s">
        <v>146</v>
      </c>
      <c r="AQ70" s="7" t="s">
        <v>146</v>
      </c>
      <c r="AR70" s="7" t="s">
        <v>146</v>
      </c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</row>
    <row r="71" spans="1:57" ht="22.05" customHeight="1" x14ac:dyDescent="0.3">
      <c r="A71" s="9">
        <v>50</v>
      </c>
      <c r="B71" s="9" t="s">
        <v>151</v>
      </c>
      <c r="C71" s="10" t="s">
        <v>575</v>
      </c>
      <c r="D71" s="10" t="s">
        <v>576</v>
      </c>
      <c r="E71" s="9" t="s">
        <v>574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7" t="s">
        <v>146</v>
      </c>
      <c r="AP71" s="7" t="s">
        <v>146</v>
      </c>
      <c r="AQ71" s="7" t="s">
        <v>146</v>
      </c>
      <c r="AR71" s="7" t="s">
        <v>146</v>
      </c>
      <c r="AS71" s="7" t="s">
        <v>146</v>
      </c>
      <c r="AT71" s="7" t="s">
        <v>146</v>
      </c>
      <c r="AU71" s="7" t="s">
        <v>146</v>
      </c>
      <c r="AV71" s="7" t="s">
        <v>146</v>
      </c>
      <c r="AW71" s="11"/>
      <c r="AX71" s="11"/>
      <c r="AY71" s="11"/>
      <c r="AZ71" s="11"/>
      <c r="BA71" s="11"/>
      <c r="BB71" s="11"/>
      <c r="BC71" s="11"/>
      <c r="BD71" s="11"/>
      <c r="BE71" s="11"/>
    </row>
    <row r="72" spans="1:57" ht="22.05" customHeight="1" x14ac:dyDescent="0.3">
      <c r="A72" s="5">
        <v>51</v>
      </c>
      <c r="B72" s="5" t="s">
        <v>154</v>
      </c>
      <c r="C72" s="6" t="s">
        <v>577</v>
      </c>
      <c r="D72" s="6" t="s">
        <v>578</v>
      </c>
      <c r="E72" s="5" t="s">
        <v>574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7" t="s">
        <v>146</v>
      </c>
      <c r="AT72" s="7" t="s">
        <v>146</v>
      </c>
      <c r="AU72" s="7" t="s">
        <v>146</v>
      </c>
      <c r="AV72" s="7" t="s">
        <v>146</v>
      </c>
      <c r="AW72" s="7" t="s">
        <v>146</v>
      </c>
      <c r="AX72" s="7" t="s">
        <v>146</v>
      </c>
      <c r="AY72" s="7" t="s">
        <v>146</v>
      </c>
      <c r="AZ72" s="7" t="s">
        <v>146</v>
      </c>
      <c r="BA72" s="7" t="s">
        <v>146</v>
      </c>
      <c r="BB72" s="7" t="s">
        <v>146</v>
      </c>
      <c r="BC72" s="7" t="s">
        <v>146</v>
      </c>
      <c r="BD72" s="7" t="s">
        <v>146</v>
      </c>
      <c r="BE72" s="7" t="s">
        <v>146</v>
      </c>
    </row>
    <row r="74" spans="1:57" x14ac:dyDescent="0.3">
      <c r="B74" s="3" t="s">
        <v>361</v>
      </c>
      <c r="C74" s="3"/>
    </row>
    <row r="75" spans="1:57" x14ac:dyDescent="0.3">
      <c r="B75" s="7" t="s">
        <v>146</v>
      </c>
      <c r="C75" s="6" t="s">
        <v>362</v>
      </c>
    </row>
  </sheetData>
  <mergeCells count="44">
    <mergeCell ref="A63:C63"/>
    <mergeCell ref="D63:E63"/>
    <mergeCell ref="A68:C68"/>
    <mergeCell ref="D68:E68"/>
    <mergeCell ref="A52:C52"/>
    <mergeCell ref="D52:E52"/>
    <mergeCell ref="A57:C57"/>
    <mergeCell ref="D57:E57"/>
    <mergeCell ref="A62:E62"/>
    <mergeCell ref="A43:C43"/>
    <mergeCell ref="D43:E43"/>
    <mergeCell ref="A47:E47"/>
    <mergeCell ref="A48:C48"/>
    <mergeCell ref="D48:E48"/>
    <mergeCell ref="A28:C28"/>
    <mergeCell ref="D28:E28"/>
    <mergeCell ref="A33:C33"/>
    <mergeCell ref="D33:E33"/>
    <mergeCell ref="A38:C38"/>
    <mergeCell ref="D38:E38"/>
    <mergeCell ref="A17:C17"/>
    <mergeCell ref="D17:E17"/>
    <mergeCell ref="A22:E22"/>
    <mergeCell ref="A23:C23"/>
    <mergeCell ref="D23:E23"/>
    <mergeCell ref="A5:E5"/>
    <mergeCell ref="A6:C6"/>
    <mergeCell ref="D6:E6"/>
    <mergeCell ref="A12:C12"/>
    <mergeCell ref="D12:E12"/>
    <mergeCell ref="A1:BE1"/>
    <mergeCell ref="A2:E2"/>
    <mergeCell ref="F2:I2"/>
    <mergeCell ref="J2:M2"/>
    <mergeCell ref="N2:R2"/>
    <mergeCell ref="S2:V2"/>
    <mergeCell ref="W2:Z2"/>
    <mergeCell ref="AA2:AE2"/>
    <mergeCell ref="AF2:AI2"/>
    <mergeCell ref="AJ2:AN2"/>
    <mergeCell ref="AO2:AR2"/>
    <mergeCell ref="AS2:AV2"/>
    <mergeCell ref="AW2:BA2"/>
    <mergeCell ref="BB2:BE2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090"/>
  </sheetPr>
  <dimension ref="A1:AP59"/>
  <sheetViews>
    <sheetView showGridLines="0" zoomScale="80" zoomScaleNormal="80" workbookViewId="0">
      <pane xSplit="6" ySplit="4" topLeftCell="G5" activePane="bottomRight" state="frozen"/>
      <selection pane="topRight" activeCell="G1" sqref="G1"/>
      <selection pane="bottomLeft" activeCell="A5" sqref="A5"/>
      <selection pane="bottomRight" sqref="A1:AP1"/>
    </sheetView>
  </sheetViews>
  <sheetFormatPr baseColWidth="10" defaultColWidth="8.88671875" defaultRowHeight="14.4" x14ac:dyDescent="0.3"/>
  <cols>
    <col min="1" max="1" width="4.6640625" customWidth="1"/>
    <col min="2" max="2" width="10.6640625" customWidth="1"/>
    <col min="3" max="3" width="8.6640625" customWidth="1"/>
    <col min="4" max="4" width="42.6640625" customWidth="1"/>
    <col min="5" max="5" width="30.6640625" customWidth="1"/>
    <col min="6" max="6" width="15.6640625" customWidth="1"/>
    <col min="7" max="7" width="11.6640625" customWidth="1"/>
    <col min="8" max="8" width="12.6640625" customWidth="1"/>
    <col min="9" max="9" width="10.6640625" customWidth="1"/>
    <col min="10" max="10" width="11.6640625" customWidth="1"/>
    <col min="11" max="11" width="12.6640625" customWidth="1"/>
    <col min="12" max="12" width="10.6640625" customWidth="1"/>
    <col min="13" max="13" width="11.6640625" customWidth="1"/>
    <col min="14" max="14" width="12.6640625" customWidth="1"/>
    <col min="15" max="15" width="10.6640625" customWidth="1"/>
    <col min="16" max="16" width="11.6640625" customWidth="1"/>
    <col min="17" max="17" width="12.6640625" customWidth="1"/>
    <col min="18" max="18" width="10.6640625" customWidth="1"/>
    <col min="19" max="19" width="11.6640625" customWidth="1"/>
    <col min="20" max="20" width="12.6640625" customWidth="1"/>
    <col min="21" max="21" width="10.6640625" customWidth="1"/>
    <col min="22" max="22" width="11.6640625" customWidth="1"/>
    <col min="23" max="23" width="12.6640625" customWidth="1"/>
    <col min="24" max="24" width="10.6640625" customWidth="1"/>
    <col min="25" max="25" width="11.6640625" customWidth="1"/>
    <col min="26" max="26" width="12.6640625" customWidth="1"/>
    <col min="27" max="27" width="10.6640625" customWidth="1"/>
    <col min="28" max="28" width="11.6640625" customWidth="1"/>
    <col min="29" max="29" width="12.6640625" customWidth="1"/>
    <col min="30" max="30" width="10.6640625" customWidth="1"/>
    <col min="31" max="31" width="11.6640625" customWidth="1"/>
    <col min="32" max="32" width="12.6640625" customWidth="1"/>
    <col min="33" max="33" width="10.6640625" customWidth="1"/>
    <col min="34" max="34" width="11.6640625" customWidth="1"/>
    <col min="35" max="35" width="12.6640625" customWidth="1"/>
    <col min="36" max="36" width="10.6640625" customWidth="1"/>
    <col min="37" max="37" width="11.6640625" customWidth="1"/>
    <col min="38" max="38" width="12.6640625" customWidth="1"/>
    <col min="39" max="39" width="10.6640625" customWidth="1"/>
    <col min="40" max="40" width="11.6640625" customWidth="1"/>
    <col min="41" max="41" width="12.6640625" customWidth="1"/>
    <col min="42" max="42" width="10.6640625" customWidth="1"/>
  </cols>
  <sheetData>
    <row r="1" spans="1:42" ht="34.950000000000003" customHeight="1" x14ac:dyDescent="0.3">
      <c r="A1" s="31" t="s">
        <v>579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</row>
    <row r="2" spans="1:42" ht="22.05" customHeight="1" x14ac:dyDescent="0.3">
      <c r="G2" s="33" t="s">
        <v>364</v>
      </c>
      <c r="H2" s="33"/>
      <c r="I2" s="33"/>
      <c r="J2" s="33" t="s">
        <v>365</v>
      </c>
      <c r="K2" s="33"/>
      <c r="L2" s="33"/>
      <c r="M2" s="33" t="s">
        <v>366</v>
      </c>
      <c r="N2" s="33"/>
      <c r="O2" s="33"/>
      <c r="P2" s="33" t="s">
        <v>367</v>
      </c>
      <c r="Q2" s="33"/>
      <c r="R2" s="33"/>
      <c r="S2" s="33" t="s">
        <v>368</v>
      </c>
      <c r="T2" s="33"/>
      <c r="U2" s="33"/>
      <c r="V2" s="33" t="s">
        <v>369</v>
      </c>
      <c r="W2" s="33"/>
      <c r="X2" s="33"/>
      <c r="Y2" s="33" t="s">
        <v>370</v>
      </c>
      <c r="Z2" s="33"/>
      <c r="AA2" s="33"/>
      <c r="AB2" s="33" t="s">
        <v>371</v>
      </c>
      <c r="AC2" s="33"/>
      <c r="AD2" s="33"/>
      <c r="AE2" s="33" t="s">
        <v>372</v>
      </c>
      <c r="AF2" s="33"/>
      <c r="AG2" s="33"/>
      <c r="AH2" s="33" t="s">
        <v>373</v>
      </c>
      <c r="AI2" s="33"/>
      <c r="AJ2" s="33"/>
      <c r="AK2" s="33" t="s">
        <v>374</v>
      </c>
      <c r="AL2" s="33"/>
      <c r="AM2" s="33"/>
      <c r="AN2" s="33" t="s">
        <v>375</v>
      </c>
      <c r="AO2" s="33"/>
      <c r="AP2" s="33"/>
    </row>
    <row r="3" spans="1:42" ht="19.95" customHeight="1" x14ac:dyDescent="0.3">
      <c r="A3" s="1" t="s">
        <v>30</v>
      </c>
      <c r="B3" s="1" t="s">
        <v>376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377</v>
      </c>
      <c r="H3" s="1" t="s">
        <v>378</v>
      </c>
      <c r="I3" s="1" t="s">
        <v>379</v>
      </c>
      <c r="J3" s="1" t="s">
        <v>377</v>
      </c>
      <c r="K3" s="1" t="s">
        <v>378</v>
      </c>
      <c r="L3" s="1" t="s">
        <v>379</v>
      </c>
      <c r="M3" s="1" t="s">
        <v>377</v>
      </c>
      <c r="N3" s="1" t="s">
        <v>378</v>
      </c>
      <c r="O3" s="1" t="s">
        <v>379</v>
      </c>
      <c r="P3" s="1" t="s">
        <v>377</v>
      </c>
      <c r="Q3" s="1" t="s">
        <v>378</v>
      </c>
      <c r="R3" s="1" t="s">
        <v>379</v>
      </c>
      <c r="S3" s="1" t="s">
        <v>377</v>
      </c>
      <c r="T3" s="1" t="s">
        <v>378</v>
      </c>
      <c r="U3" s="1" t="s">
        <v>379</v>
      </c>
      <c r="V3" s="1" t="s">
        <v>377</v>
      </c>
      <c r="W3" s="1" t="s">
        <v>378</v>
      </c>
      <c r="X3" s="1" t="s">
        <v>379</v>
      </c>
      <c r="Y3" s="1" t="s">
        <v>377</v>
      </c>
      <c r="Z3" s="1" t="s">
        <v>378</v>
      </c>
      <c r="AA3" s="1" t="s">
        <v>379</v>
      </c>
      <c r="AB3" s="1" t="s">
        <v>377</v>
      </c>
      <c r="AC3" s="1" t="s">
        <v>378</v>
      </c>
      <c r="AD3" s="1" t="s">
        <v>379</v>
      </c>
      <c r="AE3" s="1" t="s">
        <v>377</v>
      </c>
      <c r="AF3" s="1" t="s">
        <v>378</v>
      </c>
      <c r="AG3" s="1" t="s">
        <v>379</v>
      </c>
      <c r="AH3" s="1" t="s">
        <v>377</v>
      </c>
      <c r="AI3" s="1" t="s">
        <v>378</v>
      </c>
      <c r="AJ3" s="1" t="s">
        <v>379</v>
      </c>
      <c r="AK3" s="1" t="s">
        <v>377</v>
      </c>
      <c r="AL3" s="1" t="s">
        <v>378</v>
      </c>
      <c r="AM3" s="1" t="s">
        <v>379</v>
      </c>
      <c r="AN3" s="1" t="s">
        <v>377</v>
      </c>
      <c r="AO3" s="1" t="s">
        <v>378</v>
      </c>
      <c r="AP3" s="1" t="s">
        <v>379</v>
      </c>
    </row>
    <row r="4" spans="1:42" ht="16.05" customHeight="1" x14ac:dyDescent="0.3">
      <c r="A4" s="1"/>
      <c r="B4" s="1"/>
      <c r="C4" s="1"/>
      <c r="D4" s="1"/>
      <c r="E4" s="1"/>
      <c r="F4" s="1"/>
      <c r="G4" s="1" t="s">
        <v>380</v>
      </c>
      <c r="H4" s="1" t="s">
        <v>381</v>
      </c>
      <c r="I4" s="1" t="s">
        <v>382</v>
      </c>
      <c r="J4" s="1" t="s">
        <v>380</v>
      </c>
      <c r="K4" s="1" t="s">
        <v>381</v>
      </c>
      <c r="L4" s="1" t="s">
        <v>382</v>
      </c>
      <c r="M4" s="1" t="s">
        <v>380</v>
      </c>
      <c r="N4" s="1" t="s">
        <v>381</v>
      </c>
      <c r="O4" s="1" t="s">
        <v>382</v>
      </c>
      <c r="P4" s="1" t="s">
        <v>380</v>
      </c>
      <c r="Q4" s="1" t="s">
        <v>381</v>
      </c>
      <c r="R4" s="1" t="s">
        <v>382</v>
      </c>
      <c r="S4" s="1" t="s">
        <v>380</v>
      </c>
      <c r="T4" s="1" t="s">
        <v>381</v>
      </c>
      <c r="U4" s="1" t="s">
        <v>382</v>
      </c>
      <c r="V4" s="1" t="s">
        <v>380</v>
      </c>
      <c r="W4" s="1" t="s">
        <v>381</v>
      </c>
      <c r="X4" s="1" t="s">
        <v>382</v>
      </c>
      <c r="Y4" s="1" t="s">
        <v>380</v>
      </c>
      <c r="Z4" s="1" t="s">
        <v>381</v>
      </c>
      <c r="AA4" s="1" t="s">
        <v>382</v>
      </c>
      <c r="AB4" s="1" t="s">
        <v>380</v>
      </c>
      <c r="AC4" s="1" t="s">
        <v>381</v>
      </c>
      <c r="AD4" s="1" t="s">
        <v>382</v>
      </c>
      <c r="AE4" s="1" t="s">
        <v>380</v>
      </c>
      <c r="AF4" s="1" t="s">
        <v>381</v>
      </c>
      <c r="AG4" s="1" t="s">
        <v>382</v>
      </c>
      <c r="AH4" s="1" t="s">
        <v>380</v>
      </c>
      <c r="AI4" s="1" t="s">
        <v>381</v>
      </c>
      <c r="AJ4" s="1" t="s">
        <v>382</v>
      </c>
      <c r="AK4" s="1" t="s">
        <v>380</v>
      </c>
      <c r="AL4" s="1" t="s">
        <v>381</v>
      </c>
      <c r="AM4" s="1" t="s">
        <v>382</v>
      </c>
      <c r="AN4" s="1" t="s">
        <v>380</v>
      </c>
      <c r="AO4" s="1" t="s">
        <v>381</v>
      </c>
      <c r="AP4" s="1" t="s">
        <v>382</v>
      </c>
    </row>
    <row r="5" spans="1:42" ht="28.05" customHeight="1" x14ac:dyDescent="0.3">
      <c r="A5" s="5">
        <v>1</v>
      </c>
      <c r="B5" s="5" t="s">
        <v>383</v>
      </c>
      <c r="C5" s="5" t="s">
        <v>142</v>
      </c>
      <c r="D5" s="6" t="s">
        <v>446</v>
      </c>
      <c r="E5" s="6" t="s">
        <v>447</v>
      </c>
      <c r="F5" s="5" t="s">
        <v>448</v>
      </c>
      <c r="G5" s="11" t="s">
        <v>386</v>
      </c>
      <c r="H5" s="13" t="s">
        <v>387</v>
      </c>
      <c r="I5" s="11"/>
      <c r="J5" s="11" t="s">
        <v>386</v>
      </c>
      <c r="K5" s="13" t="s">
        <v>387</v>
      </c>
      <c r="L5" s="11"/>
      <c r="M5" s="12" t="s">
        <v>384</v>
      </c>
      <c r="N5" s="13" t="s">
        <v>385</v>
      </c>
      <c r="O5" s="14">
        <v>0</v>
      </c>
      <c r="P5" s="12" t="s">
        <v>384</v>
      </c>
      <c r="Q5" s="13" t="s">
        <v>385</v>
      </c>
      <c r="R5" s="14">
        <v>0</v>
      </c>
      <c r="S5" s="11" t="s">
        <v>386</v>
      </c>
      <c r="T5" s="13" t="s">
        <v>387</v>
      </c>
      <c r="U5" s="11"/>
      <c r="V5" s="11" t="s">
        <v>386</v>
      </c>
      <c r="W5" s="13" t="s">
        <v>387</v>
      </c>
      <c r="X5" s="11"/>
      <c r="Y5" s="12" t="s">
        <v>384</v>
      </c>
      <c r="Z5" s="13" t="s">
        <v>385</v>
      </c>
      <c r="AA5" s="14">
        <v>0</v>
      </c>
      <c r="AB5" s="12" t="s">
        <v>384</v>
      </c>
      <c r="AC5" s="13" t="s">
        <v>385</v>
      </c>
      <c r="AD5" s="14">
        <v>0</v>
      </c>
      <c r="AE5" s="11" t="s">
        <v>386</v>
      </c>
      <c r="AF5" s="13" t="s">
        <v>387</v>
      </c>
      <c r="AG5" s="11"/>
      <c r="AH5" s="11" t="s">
        <v>386</v>
      </c>
      <c r="AI5" s="13" t="s">
        <v>387</v>
      </c>
      <c r="AJ5" s="11"/>
      <c r="AK5" s="12" t="s">
        <v>384</v>
      </c>
      <c r="AL5" s="13" t="s">
        <v>385</v>
      </c>
      <c r="AM5" s="14">
        <v>0</v>
      </c>
      <c r="AN5" s="12" t="s">
        <v>384</v>
      </c>
      <c r="AO5" s="13" t="s">
        <v>385</v>
      </c>
      <c r="AP5" s="14">
        <v>0</v>
      </c>
    </row>
    <row r="6" spans="1:42" ht="28.05" customHeight="1" x14ac:dyDescent="0.3">
      <c r="A6" s="9">
        <v>2</v>
      </c>
      <c r="B6" s="9" t="s">
        <v>383</v>
      </c>
      <c r="C6" s="9" t="s">
        <v>147</v>
      </c>
      <c r="D6" s="10" t="s">
        <v>449</v>
      </c>
      <c r="E6" s="10" t="s">
        <v>450</v>
      </c>
      <c r="F6" s="9" t="s">
        <v>448</v>
      </c>
      <c r="G6" s="8" t="s">
        <v>386</v>
      </c>
      <c r="H6" s="13" t="s">
        <v>387</v>
      </c>
      <c r="I6" s="8"/>
      <c r="J6" s="8" t="s">
        <v>386</v>
      </c>
      <c r="K6" s="13" t="s">
        <v>387</v>
      </c>
      <c r="L6" s="8"/>
      <c r="M6" s="12" t="s">
        <v>384</v>
      </c>
      <c r="N6" s="13" t="s">
        <v>385</v>
      </c>
      <c r="O6" s="15">
        <v>0</v>
      </c>
      <c r="P6" s="12" t="s">
        <v>384</v>
      </c>
      <c r="Q6" s="13" t="s">
        <v>385</v>
      </c>
      <c r="R6" s="15">
        <v>0</v>
      </c>
      <c r="S6" s="8" t="s">
        <v>386</v>
      </c>
      <c r="T6" s="13" t="s">
        <v>387</v>
      </c>
      <c r="U6" s="8"/>
      <c r="V6" s="8" t="s">
        <v>386</v>
      </c>
      <c r="W6" s="13" t="s">
        <v>387</v>
      </c>
      <c r="X6" s="8"/>
      <c r="Y6" s="12" t="s">
        <v>384</v>
      </c>
      <c r="Z6" s="13" t="s">
        <v>385</v>
      </c>
      <c r="AA6" s="15">
        <v>0</v>
      </c>
      <c r="AB6" s="12" t="s">
        <v>384</v>
      </c>
      <c r="AC6" s="13" t="s">
        <v>385</v>
      </c>
      <c r="AD6" s="15">
        <v>0</v>
      </c>
      <c r="AE6" s="8" t="s">
        <v>386</v>
      </c>
      <c r="AF6" s="13" t="s">
        <v>387</v>
      </c>
      <c r="AG6" s="8"/>
      <c r="AH6" s="8" t="s">
        <v>386</v>
      </c>
      <c r="AI6" s="13" t="s">
        <v>387</v>
      </c>
      <c r="AJ6" s="8"/>
      <c r="AK6" s="12" t="s">
        <v>384</v>
      </c>
      <c r="AL6" s="13" t="s">
        <v>385</v>
      </c>
      <c r="AM6" s="15">
        <v>0</v>
      </c>
      <c r="AN6" s="12" t="s">
        <v>384</v>
      </c>
      <c r="AO6" s="13" t="s">
        <v>385</v>
      </c>
      <c r="AP6" s="15">
        <v>0</v>
      </c>
    </row>
    <row r="7" spans="1:42" ht="28.05" customHeight="1" x14ac:dyDescent="0.3">
      <c r="A7" s="5">
        <v>3</v>
      </c>
      <c r="B7" s="5" t="s">
        <v>383</v>
      </c>
      <c r="C7" s="5" t="s">
        <v>151</v>
      </c>
      <c r="D7" s="6" t="s">
        <v>451</v>
      </c>
      <c r="E7" s="6" t="s">
        <v>452</v>
      </c>
      <c r="F7" s="5" t="s">
        <v>448</v>
      </c>
      <c r="G7" s="11" t="s">
        <v>386</v>
      </c>
      <c r="H7" s="13" t="s">
        <v>387</v>
      </c>
      <c r="I7" s="11"/>
      <c r="J7" s="11" t="s">
        <v>386</v>
      </c>
      <c r="K7" s="13" t="s">
        <v>387</v>
      </c>
      <c r="L7" s="11"/>
      <c r="M7" s="12" t="s">
        <v>384</v>
      </c>
      <c r="N7" s="13" t="s">
        <v>385</v>
      </c>
      <c r="O7" s="14">
        <v>0</v>
      </c>
      <c r="P7" s="12" t="s">
        <v>384</v>
      </c>
      <c r="Q7" s="13" t="s">
        <v>385</v>
      </c>
      <c r="R7" s="14">
        <v>0</v>
      </c>
      <c r="S7" s="11" t="s">
        <v>386</v>
      </c>
      <c r="T7" s="13" t="s">
        <v>387</v>
      </c>
      <c r="U7" s="11"/>
      <c r="V7" s="11" t="s">
        <v>386</v>
      </c>
      <c r="W7" s="13" t="s">
        <v>387</v>
      </c>
      <c r="X7" s="11"/>
      <c r="Y7" s="12" t="s">
        <v>384</v>
      </c>
      <c r="Z7" s="13" t="s">
        <v>385</v>
      </c>
      <c r="AA7" s="14">
        <v>0</v>
      </c>
      <c r="AB7" s="12" t="s">
        <v>384</v>
      </c>
      <c r="AC7" s="13" t="s">
        <v>385</v>
      </c>
      <c r="AD7" s="14">
        <v>0</v>
      </c>
      <c r="AE7" s="11" t="s">
        <v>386</v>
      </c>
      <c r="AF7" s="13" t="s">
        <v>387</v>
      </c>
      <c r="AG7" s="11"/>
      <c r="AH7" s="11" t="s">
        <v>386</v>
      </c>
      <c r="AI7" s="13" t="s">
        <v>387</v>
      </c>
      <c r="AJ7" s="11"/>
      <c r="AK7" s="12" t="s">
        <v>384</v>
      </c>
      <c r="AL7" s="13" t="s">
        <v>385</v>
      </c>
      <c r="AM7" s="14">
        <v>0</v>
      </c>
      <c r="AN7" s="12" t="s">
        <v>384</v>
      </c>
      <c r="AO7" s="13" t="s">
        <v>385</v>
      </c>
      <c r="AP7" s="14">
        <v>0</v>
      </c>
    </row>
    <row r="8" spans="1:42" ht="28.05" customHeight="1" x14ac:dyDescent="0.3">
      <c r="A8" s="9">
        <v>4</v>
      </c>
      <c r="B8" s="9" t="s">
        <v>383</v>
      </c>
      <c r="C8" s="9" t="s">
        <v>154</v>
      </c>
      <c r="D8" s="10" t="s">
        <v>453</v>
      </c>
      <c r="E8" s="10" t="s">
        <v>454</v>
      </c>
      <c r="F8" s="9" t="s">
        <v>448</v>
      </c>
      <c r="G8" s="8" t="s">
        <v>386</v>
      </c>
      <c r="H8" s="13" t="s">
        <v>387</v>
      </c>
      <c r="I8" s="8"/>
      <c r="J8" s="8" t="s">
        <v>386</v>
      </c>
      <c r="K8" s="13" t="s">
        <v>387</v>
      </c>
      <c r="L8" s="8"/>
      <c r="M8" s="12" t="s">
        <v>384</v>
      </c>
      <c r="N8" s="13" t="s">
        <v>385</v>
      </c>
      <c r="O8" s="15">
        <v>0</v>
      </c>
      <c r="P8" s="12" t="s">
        <v>384</v>
      </c>
      <c r="Q8" s="13" t="s">
        <v>385</v>
      </c>
      <c r="R8" s="15">
        <v>0</v>
      </c>
      <c r="S8" s="8" t="s">
        <v>386</v>
      </c>
      <c r="T8" s="13" t="s">
        <v>387</v>
      </c>
      <c r="U8" s="8"/>
      <c r="V8" s="8" t="s">
        <v>386</v>
      </c>
      <c r="W8" s="13" t="s">
        <v>387</v>
      </c>
      <c r="X8" s="8"/>
      <c r="Y8" s="12" t="s">
        <v>384</v>
      </c>
      <c r="Z8" s="13" t="s">
        <v>385</v>
      </c>
      <c r="AA8" s="15">
        <v>0</v>
      </c>
      <c r="AB8" s="12" t="s">
        <v>384</v>
      </c>
      <c r="AC8" s="13" t="s">
        <v>385</v>
      </c>
      <c r="AD8" s="15">
        <v>0</v>
      </c>
      <c r="AE8" s="8" t="s">
        <v>386</v>
      </c>
      <c r="AF8" s="13" t="s">
        <v>387</v>
      </c>
      <c r="AG8" s="8"/>
      <c r="AH8" s="8" t="s">
        <v>386</v>
      </c>
      <c r="AI8" s="13" t="s">
        <v>387</v>
      </c>
      <c r="AJ8" s="8"/>
      <c r="AK8" s="12" t="s">
        <v>384</v>
      </c>
      <c r="AL8" s="13" t="s">
        <v>385</v>
      </c>
      <c r="AM8" s="15">
        <v>0</v>
      </c>
      <c r="AN8" s="12" t="s">
        <v>384</v>
      </c>
      <c r="AO8" s="13" t="s">
        <v>385</v>
      </c>
      <c r="AP8" s="15">
        <v>0</v>
      </c>
    </row>
    <row r="9" spans="1:42" ht="28.05" customHeight="1" x14ac:dyDescent="0.3">
      <c r="A9" s="5">
        <v>5</v>
      </c>
      <c r="B9" s="5" t="s">
        <v>383</v>
      </c>
      <c r="C9" s="5" t="s">
        <v>167</v>
      </c>
      <c r="D9" s="6" t="s">
        <v>455</v>
      </c>
      <c r="E9" s="6" t="s">
        <v>456</v>
      </c>
      <c r="F9" s="5" t="s">
        <v>448</v>
      </c>
      <c r="G9" s="11" t="s">
        <v>386</v>
      </c>
      <c r="H9" s="13" t="s">
        <v>387</v>
      </c>
      <c r="I9" s="11"/>
      <c r="J9" s="11" t="s">
        <v>386</v>
      </c>
      <c r="K9" s="13" t="s">
        <v>387</v>
      </c>
      <c r="L9" s="11"/>
      <c r="M9" s="11" t="s">
        <v>386</v>
      </c>
      <c r="N9" s="13" t="s">
        <v>387</v>
      </c>
      <c r="O9" s="11"/>
      <c r="P9" s="12" t="s">
        <v>384</v>
      </c>
      <c r="Q9" s="13" t="s">
        <v>385</v>
      </c>
      <c r="R9" s="14">
        <v>0</v>
      </c>
      <c r="S9" s="11" t="s">
        <v>386</v>
      </c>
      <c r="T9" s="13" t="s">
        <v>387</v>
      </c>
      <c r="U9" s="11"/>
      <c r="V9" s="11" t="s">
        <v>386</v>
      </c>
      <c r="W9" s="13" t="s">
        <v>387</v>
      </c>
      <c r="X9" s="11"/>
      <c r="Y9" s="11" t="s">
        <v>386</v>
      </c>
      <c r="Z9" s="13" t="s">
        <v>387</v>
      </c>
      <c r="AA9" s="11"/>
      <c r="AB9" s="12" t="s">
        <v>384</v>
      </c>
      <c r="AC9" s="13" t="s">
        <v>385</v>
      </c>
      <c r="AD9" s="14">
        <v>0</v>
      </c>
      <c r="AE9" s="11" t="s">
        <v>386</v>
      </c>
      <c r="AF9" s="13" t="s">
        <v>387</v>
      </c>
      <c r="AG9" s="11"/>
      <c r="AH9" s="11" t="s">
        <v>386</v>
      </c>
      <c r="AI9" s="13" t="s">
        <v>387</v>
      </c>
      <c r="AJ9" s="11"/>
      <c r="AK9" s="11" t="s">
        <v>386</v>
      </c>
      <c r="AL9" s="13" t="s">
        <v>387</v>
      </c>
      <c r="AM9" s="11"/>
      <c r="AN9" s="12" t="s">
        <v>384</v>
      </c>
      <c r="AO9" s="13" t="s">
        <v>385</v>
      </c>
      <c r="AP9" s="14">
        <v>0</v>
      </c>
    </row>
    <row r="10" spans="1:42" ht="28.05" customHeight="1" x14ac:dyDescent="0.3">
      <c r="A10" s="9">
        <v>6</v>
      </c>
      <c r="B10" s="9" t="s">
        <v>388</v>
      </c>
      <c r="C10" s="9" t="s">
        <v>142</v>
      </c>
      <c r="D10" s="10" t="s">
        <v>459</v>
      </c>
      <c r="E10" s="10" t="s">
        <v>460</v>
      </c>
      <c r="F10" s="9" t="s">
        <v>461</v>
      </c>
      <c r="G10" s="8" t="s">
        <v>386</v>
      </c>
      <c r="H10" s="13" t="s">
        <v>387</v>
      </c>
      <c r="I10" s="8"/>
      <c r="J10" s="8" t="s">
        <v>386</v>
      </c>
      <c r="K10" s="13" t="s">
        <v>387</v>
      </c>
      <c r="L10" s="8"/>
      <c r="M10" s="12" t="s">
        <v>384</v>
      </c>
      <c r="N10" s="13" t="s">
        <v>385</v>
      </c>
      <c r="O10" s="15">
        <v>0</v>
      </c>
      <c r="P10" s="12" t="s">
        <v>384</v>
      </c>
      <c r="Q10" s="13" t="s">
        <v>385</v>
      </c>
      <c r="R10" s="15">
        <v>0</v>
      </c>
      <c r="S10" s="8" t="s">
        <v>386</v>
      </c>
      <c r="T10" s="13" t="s">
        <v>387</v>
      </c>
      <c r="U10" s="8"/>
      <c r="V10" s="8" t="s">
        <v>386</v>
      </c>
      <c r="W10" s="13" t="s">
        <v>387</v>
      </c>
      <c r="X10" s="8"/>
      <c r="Y10" s="8" t="s">
        <v>386</v>
      </c>
      <c r="Z10" s="13" t="s">
        <v>387</v>
      </c>
      <c r="AA10" s="8"/>
      <c r="AB10" s="8" t="s">
        <v>386</v>
      </c>
      <c r="AC10" s="13" t="s">
        <v>387</v>
      </c>
      <c r="AD10" s="8"/>
      <c r="AE10" s="8" t="s">
        <v>386</v>
      </c>
      <c r="AF10" s="13" t="s">
        <v>387</v>
      </c>
      <c r="AG10" s="8"/>
      <c r="AH10" s="8" t="s">
        <v>386</v>
      </c>
      <c r="AI10" s="13" t="s">
        <v>387</v>
      </c>
      <c r="AJ10" s="8"/>
      <c r="AK10" s="8" t="s">
        <v>386</v>
      </c>
      <c r="AL10" s="13" t="s">
        <v>387</v>
      </c>
      <c r="AM10" s="8"/>
      <c r="AN10" s="8" t="s">
        <v>386</v>
      </c>
      <c r="AO10" s="13" t="s">
        <v>387</v>
      </c>
      <c r="AP10" s="8"/>
    </row>
    <row r="11" spans="1:42" ht="28.05" customHeight="1" x14ac:dyDescent="0.3">
      <c r="A11" s="5">
        <v>7</v>
      </c>
      <c r="B11" s="5" t="s">
        <v>388</v>
      </c>
      <c r="C11" s="5" t="s">
        <v>147</v>
      </c>
      <c r="D11" s="6" t="s">
        <v>462</v>
      </c>
      <c r="E11" s="6" t="s">
        <v>463</v>
      </c>
      <c r="F11" s="5" t="s">
        <v>448</v>
      </c>
      <c r="G11" s="11" t="s">
        <v>386</v>
      </c>
      <c r="H11" s="13" t="s">
        <v>387</v>
      </c>
      <c r="I11" s="11"/>
      <c r="J11" s="11" t="s">
        <v>386</v>
      </c>
      <c r="K11" s="13" t="s">
        <v>387</v>
      </c>
      <c r="L11" s="11"/>
      <c r="M11" s="12" t="s">
        <v>384</v>
      </c>
      <c r="N11" s="13" t="s">
        <v>385</v>
      </c>
      <c r="O11" s="14">
        <v>0</v>
      </c>
      <c r="P11" s="12" t="s">
        <v>384</v>
      </c>
      <c r="Q11" s="13" t="s">
        <v>385</v>
      </c>
      <c r="R11" s="14">
        <v>0</v>
      </c>
      <c r="S11" s="11" t="s">
        <v>386</v>
      </c>
      <c r="T11" s="13" t="s">
        <v>387</v>
      </c>
      <c r="U11" s="11"/>
      <c r="V11" s="11" t="s">
        <v>386</v>
      </c>
      <c r="W11" s="13" t="s">
        <v>387</v>
      </c>
      <c r="X11" s="11"/>
      <c r="Y11" s="11" t="s">
        <v>386</v>
      </c>
      <c r="Z11" s="13" t="s">
        <v>387</v>
      </c>
      <c r="AA11" s="11"/>
      <c r="AB11" s="11" t="s">
        <v>386</v>
      </c>
      <c r="AC11" s="13" t="s">
        <v>387</v>
      </c>
      <c r="AD11" s="11"/>
      <c r="AE11" s="11" t="s">
        <v>386</v>
      </c>
      <c r="AF11" s="13" t="s">
        <v>387</v>
      </c>
      <c r="AG11" s="11"/>
      <c r="AH11" s="11" t="s">
        <v>386</v>
      </c>
      <c r="AI11" s="13" t="s">
        <v>387</v>
      </c>
      <c r="AJ11" s="11"/>
      <c r="AK11" s="11" t="s">
        <v>386</v>
      </c>
      <c r="AL11" s="13" t="s">
        <v>387</v>
      </c>
      <c r="AM11" s="11"/>
      <c r="AN11" s="11" t="s">
        <v>386</v>
      </c>
      <c r="AO11" s="13" t="s">
        <v>387</v>
      </c>
      <c r="AP11" s="11"/>
    </row>
    <row r="12" spans="1:42" ht="28.05" customHeight="1" x14ac:dyDescent="0.3">
      <c r="A12" s="9">
        <v>8</v>
      </c>
      <c r="B12" s="9" t="s">
        <v>388</v>
      </c>
      <c r="C12" s="9" t="s">
        <v>151</v>
      </c>
      <c r="D12" s="10" t="s">
        <v>464</v>
      </c>
      <c r="E12" s="10" t="s">
        <v>465</v>
      </c>
      <c r="F12" s="9" t="s">
        <v>448</v>
      </c>
      <c r="G12" s="8" t="s">
        <v>386</v>
      </c>
      <c r="H12" s="13" t="s">
        <v>387</v>
      </c>
      <c r="I12" s="8"/>
      <c r="J12" s="8" t="s">
        <v>386</v>
      </c>
      <c r="K12" s="13" t="s">
        <v>387</v>
      </c>
      <c r="L12" s="8"/>
      <c r="M12" s="8" t="s">
        <v>386</v>
      </c>
      <c r="N12" s="13" t="s">
        <v>387</v>
      </c>
      <c r="O12" s="8"/>
      <c r="P12" s="12" t="s">
        <v>384</v>
      </c>
      <c r="Q12" s="13" t="s">
        <v>385</v>
      </c>
      <c r="R12" s="15">
        <v>0</v>
      </c>
      <c r="S12" s="8" t="s">
        <v>386</v>
      </c>
      <c r="T12" s="13" t="s">
        <v>387</v>
      </c>
      <c r="U12" s="8"/>
      <c r="V12" s="8" t="s">
        <v>386</v>
      </c>
      <c r="W12" s="13" t="s">
        <v>387</v>
      </c>
      <c r="X12" s="8"/>
      <c r="Y12" s="8" t="s">
        <v>386</v>
      </c>
      <c r="Z12" s="13" t="s">
        <v>387</v>
      </c>
      <c r="AA12" s="8"/>
      <c r="AB12" s="8" t="s">
        <v>386</v>
      </c>
      <c r="AC12" s="13" t="s">
        <v>387</v>
      </c>
      <c r="AD12" s="8"/>
      <c r="AE12" s="8" t="s">
        <v>386</v>
      </c>
      <c r="AF12" s="13" t="s">
        <v>387</v>
      </c>
      <c r="AG12" s="8"/>
      <c r="AH12" s="8" t="s">
        <v>386</v>
      </c>
      <c r="AI12" s="13" t="s">
        <v>387</v>
      </c>
      <c r="AJ12" s="8"/>
      <c r="AK12" s="8" t="s">
        <v>386</v>
      </c>
      <c r="AL12" s="13" t="s">
        <v>387</v>
      </c>
      <c r="AM12" s="8"/>
      <c r="AN12" s="8" t="s">
        <v>386</v>
      </c>
      <c r="AO12" s="13" t="s">
        <v>387</v>
      </c>
      <c r="AP12" s="8"/>
    </row>
    <row r="13" spans="1:42" ht="28.05" customHeight="1" x14ac:dyDescent="0.3">
      <c r="A13" s="5">
        <v>9</v>
      </c>
      <c r="B13" s="5" t="s">
        <v>388</v>
      </c>
      <c r="C13" s="5" t="s">
        <v>154</v>
      </c>
      <c r="D13" s="6" t="s">
        <v>466</v>
      </c>
      <c r="E13" s="6" t="s">
        <v>467</v>
      </c>
      <c r="F13" s="5" t="s">
        <v>448</v>
      </c>
      <c r="G13" s="11" t="s">
        <v>386</v>
      </c>
      <c r="H13" s="13" t="s">
        <v>387</v>
      </c>
      <c r="I13" s="11"/>
      <c r="J13" s="11" t="s">
        <v>386</v>
      </c>
      <c r="K13" s="13" t="s">
        <v>387</v>
      </c>
      <c r="L13" s="11"/>
      <c r="M13" s="11" t="s">
        <v>386</v>
      </c>
      <c r="N13" s="13" t="s">
        <v>387</v>
      </c>
      <c r="O13" s="11"/>
      <c r="P13" s="12" t="s">
        <v>384</v>
      </c>
      <c r="Q13" s="13" t="s">
        <v>385</v>
      </c>
      <c r="R13" s="14">
        <v>0</v>
      </c>
      <c r="S13" s="12" t="s">
        <v>384</v>
      </c>
      <c r="T13" s="13" t="s">
        <v>385</v>
      </c>
      <c r="U13" s="14">
        <v>0</v>
      </c>
      <c r="V13" s="12" t="s">
        <v>384</v>
      </c>
      <c r="W13" s="13" t="s">
        <v>385</v>
      </c>
      <c r="X13" s="14">
        <v>0</v>
      </c>
      <c r="Y13" s="11" t="s">
        <v>386</v>
      </c>
      <c r="Z13" s="13" t="s">
        <v>387</v>
      </c>
      <c r="AA13" s="11"/>
      <c r="AB13" s="11" t="s">
        <v>386</v>
      </c>
      <c r="AC13" s="13" t="s">
        <v>387</v>
      </c>
      <c r="AD13" s="11"/>
      <c r="AE13" s="11" t="s">
        <v>386</v>
      </c>
      <c r="AF13" s="13" t="s">
        <v>387</v>
      </c>
      <c r="AG13" s="11"/>
      <c r="AH13" s="11" t="s">
        <v>386</v>
      </c>
      <c r="AI13" s="13" t="s">
        <v>387</v>
      </c>
      <c r="AJ13" s="11"/>
      <c r="AK13" s="11" t="s">
        <v>386</v>
      </c>
      <c r="AL13" s="13" t="s">
        <v>387</v>
      </c>
      <c r="AM13" s="11"/>
      <c r="AN13" s="11" t="s">
        <v>386</v>
      </c>
      <c r="AO13" s="13" t="s">
        <v>387</v>
      </c>
      <c r="AP13" s="11"/>
    </row>
    <row r="14" spans="1:42" ht="28.05" customHeight="1" x14ac:dyDescent="0.3">
      <c r="A14" s="9">
        <v>10</v>
      </c>
      <c r="B14" s="9" t="s">
        <v>389</v>
      </c>
      <c r="C14" s="9" t="s">
        <v>142</v>
      </c>
      <c r="D14" s="10" t="s">
        <v>470</v>
      </c>
      <c r="E14" s="10" t="s">
        <v>471</v>
      </c>
      <c r="F14" s="9" t="s">
        <v>448</v>
      </c>
      <c r="G14" s="8" t="s">
        <v>386</v>
      </c>
      <c r="H14" s="13" t="s">
        <v>387</v>
      </c>
      <c r="I14" s="8"/>
      <c r="J14" s="8" t="s">
        <v>386</v>
      </c>
      <c r="K14" s="13" t="s">
        <v>387</v>
      </c>
      <c r="L14" s="8"/>
      <c r="M14" s="12" t="s">
        <v>384</v>
      </c>
      <c r="N14" s="13" t="s">
        <v>385</v>
      </c>
      <c r="O14" s="15">
        <v>0</v>
      </c>
      <c r="P14" s="12" t="s">
        <v>384</v>
      </c>
      <c r="Q14" s="13" t="s">
        <v>385</v>
      </c>
      <c r="R14" s="15">
        <v>0</v>
      </c>
      <c r="S14" s="8" t="s">
        <v>386</v>
      </c>
      <c r="T14" s="13" t="s">
        <v>387</v>
      </c>
      <c r="U14" s="8"/>
      <c r="V14" s="8" t="s">
        <v>386</v>
      </c>
      <c r="W14" s="13" t="s">
        <v>387</v>
      </c>
      <c r="X14" s="8"/>
      <c r="Y14" s="8" t="s">
        <v>386</v>
      </c>
      <c r="Z14" s="13" t="s">
        <v>387</v>
      </c>
      <c r="AA14" s="8"/>
      <c r="AB14" s="8" t="s">
        <v>386</v>
      </c>
      <c r="AC14" s="13" t="s">
        <v>387</v>
      </c>
      <c r="AD14" s="8"/>
      <c r="AE14" s="8" t="s">
        <v>386</v>
      </c>
      <c r="AF14" s="13" t="s">
        <v>387</v>
      </c>
      <c r="AG14" s="8"/>
      <c r="AH14" s="12" t="s">
        <v>384</v>
      </c>
      <c r="AI14" s="13" t="s">
        <v>385</v>
      </c>
      <c r="AJ14" s="15">
        <v>0</v>
      </c>
      <c r="AK14" s="12" t="s">
        <v>384</v>
      </c>
      <c r="AL14" s="13" t="s">
        <v>385</v>
      </c>
      <c r="AM14" s="15">
        <v>0</v>
      </c>
      <c r="AN14" s="8" t="s">
        <v>386</v>
      </c>
      <c r="AO14" s="13" t="s">
        <v>387</v>
      </c>
      <c r="AP14" s="8"/>
    </row>
    <row r="15" spans="1:42" ht="28.05" customHeight="1" x14ac:dyDescent="0.3">
      <c r="A15" s="5">
        <v>11</v>
      </c>
      <c r="B15" s="5" t="s">
        <v>389</v>
      </c>
      <c r="C15" s="5" t="s">
        <v>147</v>
      </c>
      <c r="D15" s="6" t="s">
        <v>472</v>
      </c>
      <c r="E15" s="6" t="s">
        <v>473</v>
      </c>
      <c r="F15" s="5" t="s">
        <v>448</v>
      </c>
      <c r="G15" s="11" t="s">
        <v>386</v>
      </c>
      <c r="H15" s="13" t="s">
        <v>387</v>
      </c>
      <c r="I15" s="11"/>
      <c r="J15" s="11" t="s">
        <v>386</v>
      </c>
      <c r="K15" s="13" t="s">
        <v>387</v>
      </c>
      <c r="L15" s="11"/>
      <c r="M15" s="12" t="s">
        <v>384</v>
      </c>
      <c r="N15" s="13" t="s">
        <v>385</v>
      </c>
      <c r="O15" s="14">
        <v>0</v>
      </c>
      <c r="P15" s="12" t="s">
        <v>384</v>
      </c>
      <c r="Q15" s="13" t="s">
        <v>385</v>
      </c>
      <c r="R15" s="14">
        <v>0</v>
      </c>
      <c r="S15" s="11" t="s">
        <v>386</v>
      </c>
      <c r="T15" s="13" t="s">
        <v>387</v>
      </c>
      <c r="U15" s="11"/>
      <c r="V15" s="11" t="s">
        <v>386</v>
      </c>
      <c r="W15" s="13" t="s">
        <v>387</v>
      </c>
      <c r="X15" s="11"/>
      <c r="Y15" s="11" t="s">
        <v>386</v>
      </c>
      <c r="Z15" s="13" t="s">
        <v>387</v>
      </c>
      <c r="AA15" s="11"/>
      <c r="AB15" s="11" t="s">
        <v>386</v>
      </c>
      <c r="AC15" s="13" t="s">
        <v>387</v>
      </c>
      <c r="AD15" s="11"/>
      <c r="AE15" s="11" t="s">
        <v>386</v>
      </c>
      <c r="AF15" s="13" t="s">
        <v>387</v>
      </c>
      <c r="AG15" s="11"/>
      <c r="AH15" s="12" t="s">
        <v>384</v>
      </c>
      <c r="AI15" s="13" t="s">
        <v>385</v>
      </c>
      <c r="AJ15" s="14">
        <v>0</v>
      </c>
      <c r="AK15" s="12" t="s">
        <v>384</v>
      </c>
      <c r="AL15" s="13" t="s">
        <v>385</v>
      </c>
      <c r="AM15" s="14">
        <v>0</v>
      </c>
      <c r="AN15" s="11" t="s">
        <v>386</v>
      </c>
      <c r="AO15" s="13" t="s">
        <v>387</v>
      </c>
      <c r="AP15" s="11"/>
    </row>
    <row r="16" spans="1:42" ht="28.05" customHeight="1" x14ac:dyDescent="0.3">
      <c r="A16" s="9">
        <v>12</v>
      </c>
      <c r="B16" s="9" t="s">
        <v>389</v>
      </c>
      <c r="C16" s="9" t="s">
        <v>151</v>
      </c>
      <c r="D16" s="10" t="s">
        <v>474</v>
      </c>
      <c r="E16" s="10" t="s">
        <v>475</v>
      </c>
      <c r="F16" s="9" t="s">
        <v>448</v>
      </c>
      <c r="G16" s="8" t="s">
        <v>386</v>
      </c>
      <c r="H16" s="13" t="s">
        <v>387</v>
      </c>
      <c r="I16" s="8"/>
      <c r="J16" s="8" t="s">
        <v>386</v>
      </c>
      <c r="K16" s="13" t="s">
        <v>387</v>
      </c>
      <c r="L16" s="8"/>
      <c r="M16" s="12" t="s">
        <v>384</v>
      </c>
      <c r="N16" s="13" t="s">
        <v>385</v>
      </c>
      <c r="O16" s="15">
        <v>0</v>
      </c>
      <c r="P16" s="12" t="s">
        <v>384</v>
      </c>
      <c r="Q16" s="13" t="s">
        <v>385</v>
      </c>
      <c r="R16" s="15">
        <v>0</v>
      </c>
      <c r="S16" s="8" t="s">
        <v>386</v>
      </c>
      <c r="T16" s="13" t="s">
        <v>387</v>
      </c>
      <c r="U16" s="8"/>
      <c r="V16" s="8" t="s">
        <v>386</v>
      </c>
      <c r="W16" s="13" t="s">
        <v>387</v>
      </c>
      <c r="X16" s="8"/>
      <c r="Y16" s="8" t="s">
        <v>386</v>
      </c>
      <c r="Z16" s="13" t="s">
        <v>387</v>
      </c>
      <c r="AA16" s="8"/>
      <c r="AB16" s="8" t="s">
        <v>386</v>
      </c>
      <c r="AC16" s="13" t="s">
        <v>387</v>
      </c>
      <c r="AD16" s="8"/>
      <c r="AE16" s="8" t="s">
        <v>386</v>
      </c>
      <c r="AF16" s="13" t="s">
        <v>387</v>
      </c>
      <c r="AG16" s="8"/>
      <c r="AH16" s="12" t="s">
        <v>384</v>
      </c>
      <c r="AI16" s="13" t="s">
        <v>385</v>
      </c>
      <c r="AJ16" s="15">
        <v>0</v>
      </c>
      <c r="AK16" s="12" t="s">
        <v>384</v>
      </c>
      <c r="AL16" s="13" t="s">
        <v>385</v>
      </c>
      <c r="AM16" s="15">
        <v>0</v>
      </c>
      <c r="AN16" s="8" t="s">
        <v>386</v>
      </c>
      <c r="AO16" s="13" t="s">
        <v>387</v>
      </c>
      <c r="AP16" s="8"/>
    </row>
    <row r="17" spans="1:42" ht="28.05" customHeight="1" x14ac:dyDescent="0.3">
      <c r="A17" s="5">
        <v>13</v>
      </c>
      <c r="B17" s="5" t="s">
        <v>389</v>
      </c>
      <c r="C17" s="5" t="s">
        <v>154</v>
      </c>
      <c r="D17" s="6" t="s">
        <v>476</v>
      </c>
      <c r="E17" s="6" t="s">
        <v>477</v>
      </c>
      <c r="F17" s="5" t="s">
        <v>448</v>
      </c>
      <c r="G17" s="11" t="s">
        <v>386</v>
      </c>
      <c r="H17" s="13" t="s">
        <v>387</v>
      </c>
      <c r="I17" s="11"/>
      <c r="J17" s="11" t="s">
        <v>386</v>
      </c>
      <c r="K17" s="13" t="s">
        <v>387</v>
      </c>
      <c r="L17" s="11"/>
      <c r="M17" s="11" t="s">
        <v>386</v>
      </c>
      <c r="N17" s="13" t="s">
        <v>387</v>
      </c>
      <c r="O17" s="11"/>
      <c r="P17" s="12" t="s">
        <v>384</v>
      </c>
      <c r="Q17" s="13" t="s">
        <v>385</v>
      </c>
      <c r="R17" s="14">
        <v>0</v>
      </c>
      <c r="S17" s="12" t="s">
        <v>384</v>
      </c>
      <c r="T17" s="13" t="s">
        <v>385</v>
      </c>
      <c r="U17" s="14">
        <v>0</v>
      </c>
      <c r="V17" s="11" t="s">
        <v>386</v>
      </c>
      <c r="W17" s="13" t="s">
        <v>387</v>
      </c>
      <c r="X17" s="11"/>
      <c r="Y17" s="11" t="s">
        <v>386</v>
      </c>
      <c r="Z17" s="13" t="s">
        <v>387</v>
      </c>
      <c r="AA17" s="11"/>
      <c r="AB17" s="11" t="s">
        <v>386</v>
      </c>
      <c r="AC17" s="13" t="s">
        <v>387</v>
      </c>
      <c r="AD17" s="11"/>
      <c r="AE17" s="11" t="s">
        <v>386</v>
      </c>
      <c r="AF17" s="13" t="s">
        <v>387</v>
      </c>
      <c r="AG17" s="11"/>
      <c r="AH17" s="11" t="s">
        <v>386</v>
      </c>
      <c r="AI17" s="13" t="s">
        <v>387</v>
      </c>
      <c r="AJ17" s="11"/>
      <c r="AK17" s="12" t="s">
        <v>384</v>
      </c>
      <c r="AL17" s="13" t="s">
        <v>385</v>
      </c>
      <c r="AM17" s="14">
        <v>0</v>
      </c>
      <c r="AN17" s="12" t="s">
        <v>384</v>
      </c>
      <c r="AO17" s="13" t="s">
        <v>385</v>
      </c>
      <c r="AP17" s="14">
        <v>0</v>
      </c>
    </row>
    <row r="18" spans="1:42" ht="28.05" customHeight="1" x14ac:dyDescent="0.3">
      <c r="A18" s="9">
        <v>14</v>
      </c>
      <c r="B18" s="9" t="s">
        <v>391</v>
      </c>
      <c r="C18" s="9" t="s">
        <v>142</v>
      </c>
      <c r="D18" s="10" t="s">
        <v>481</v>
      </c>
      <c r="E18" s="10" t="s">
        <v>482</v>
      </c>
      <c r="F18" s="9" t="s">
        <v>461</v>
      </c>
      <c r="G18" s="12" t="s">
        <v>384</v>
      </c>
      <c r="H18" s="13" t="s">
        <v>385</v>
      </c>
      <c r="I18" s="15">
        <v>0</v>
      </c>
      <c r="J18" s="12" t="s">
        <v>384</v>
      </c>
      <c r="K18" s="13" t="s">
        <v>385</v>
      </c>
      <c r="L18" s="15">
        <v>0</v>
      </c>
      <c r="M18" s="12" t="s">
        <v>384</v>
      </c>
      <c r="N18" s="13" t="s">
        <v>385</v>
      </c>
      <c r="O18" s="15">
        <v>0</v>
      </c>
      <c r="P18" s="8" t="s">
        <v>386</v>
      </c>
      <c r="Q18" s="13" t="s">
        <v>387</v>
      </c>
      <c r="R18" s="8"/>
      <c r="S18" s="8" t="s">
        <v>386</v>
      </c>
      <c r="T18" s="13" t="s">
        <v>387</v>
      </c>
      <c r="U18" s="8"/>
      <c r="V18" s="8" t="s">
        <v>386</v>
      </c>
      <c r="W18" s="13" t="s">
        <v>387</v>
      </c>
      <c r="X18" s="8"/>
      <c r="Y18" s="8" t="s">
        <v>386</v>
      </c>
      <c r="Z18" s="13" t="s">
        <v>387</v>
      </c>
      <c r="AA18" s="8"/>
      <c r="AB18" s="8" t="s">
        <v>386</v>
      </c>
      <c r="AC18" s="13" t="s">
        <v>387</v>
      </c>
      <c r="AD18" s="8"/>
      <c r="AE18" s="8" t="s">
        <v>386</v>
      </c>
      <c r="AF18" s="13" t="s">
        <v>387</v>
      </c>
      <c r="AG18" s="8"/>
      <c r="AH18" s="8" t="s">
        <v>386</v>
      </c>
      <c r="AI18" s="13" t="s">
        <v>387</v>
      </c>
      <c r="AJ18" s="8"/>
      <c r="AK18" s="8" t="s">
        <v>386</v>
      </c>
      <c r="AL18" s="13" t="s">
        <v>387</v>
      </c>
      <c r="AM18" s="8"/>
      <c r="AN18" s="8" t="s">
        <v>386</v>
      </c>
      <c r="AO18" s="13" t="s">
        <v>387</v>
      </c>
      <c r="AP18" s="8"/>
    </row>
    <row r="19" spans="1:42" ht="28.05" customHeight="1" x14ac:dyDescent="0.3">
      <c r="A19" s="5">
        <v>15</v>
      </c>
      <c r="B19" s="5" t="s">
        <v>391</v>
      </c>
      <c r="C19" s="5" t="s">
        <v>147</v>
      </c>
      <c r="D19" s="6" t="s">
        <v>483</v>
      </c>
      <c r="E19" s="6" t="s">
        <v>484</v>
      </c>
      <c r="F19" s="5" t="s">
        <v>485</v>
      </c>
      <c r="G19" s="11" t="s">
        <v>386</v>
      </c>
      <c r="H19" s="13" t="s">
        <v>387</v>
      </c>
      <c r="I19" s="11"/>
      <c r="J19" s="12" t="s">
        <v>384</v>
      </c>
      <c r="K19" s="13" t="s">
        <v>385</v>
      </c>
      <c r="L19" s="14">
        <v>0</v>
      </c>
      <c r="M19" s="12" t="s">
        <v>384</v>
      </c>
      <c r="N19" s="13" t="s">
        <v>385</v>
      </c>
      <c r="O19" s="14">
        <v>0</v>
      </c>
      <c r="P19" s="12" t="s">
        <v>384</v>
      </c>
      <c r="Q19" s="13" t="s">
        <v>385</v>
      </c>
      <c r="R19" s="14">
        <v>0</v>
      </c>
      <c r="S19" s="11" t="s">
        <v>386</v>
      </c>
      <c r="T19" s="13" t="s">
        <v>387</v>
      </c>
      <c r="U19" s="11"/>
      <c r="V19" s="11" t="s">
        <v>386</v>
      </c>
      <c r="W19" s="13" t="s">
        <v>387</v>
      </c>
      <c r="X19" s="11"/>
      <c r="Y19" s="11" t="s">
        <v>386</v>
      </c>
      <c r="Z19" s="13" t="s">
        <v>387</v>
      </c>
      <c r="AA19" s="11"/>
      <c r="AB19" s="11" t="s">
        <v>386</v>
      </c>
      <c r="AC19" s="13" t="s">
        <v>387</v>
      </c>
      <c r="AD19" s="11"/>
      <c r="AE19" s="11" t="s">
        <v>386</v>
      </c>
      <c r="AF19" s="13" t="s">
        <v>387</v>
      </c>
      <c r="AG19" s="11"/>
      <c r="AH19" s="11" t="s">
        <v>386</v>
      </c>
      <c r="AI19" s="13" t="s">
        <v>387</v>
      </c>
      <c r="AJ19" s="11"/>
      <c r="AK19" s="11" t="s">
        <v>386</v>
      </c>
      <c r="AL19" s="13" t="s">
        <v>387</v>
      </c>
      <c r="AM19" s="11"/>
      <c r="AN19" s="11" t="s">
        <v>386</v>
      </c>
      <c r="AO19" s="13" t="s">
        <v>387</v>
      </c>
      <c r="AP19" s="11"/>
    </row>
    <row r="20" spans="1:42" ht="28.05" customHeight="1" x14ac:dyDescent="0.3">
      <c r="A20" s="9">
        <v>16</v>
      </c>
      <c r="B20" s="9" t="s">
        <v>391</v>
      </c>
      <c r="C20" s="9" t="s">
        <v>151</v>
      </c>
      <c r="D20" s="10" t="s">
        <v>486</v>
      </c>
      <c r="E20" s="10" t="s">
        <v>487</v>
      </c>
      <c r="F20" s="9" t="s">
        <v>485</v>
      </c>
      <c r="G20" s="8" t="s">
        <v>386</v>
      </c>
      <c r="H20" s="13" t="s">
        <v>387</v>
      </c>
      <c r="I20" s="8"/>
      <c r="J20" s="8" t="s">
        <v>386</v>
      </c>
      <c r="K20" s="13" t="s">
        <v>387</v>
      </c>
      <c r="L20" s="8"/>
      <c r="M20" s="12" t="s">
        <v>384</v>
      </c>
      <c r="N20" s="13" t="s">
        <v>385</v>
      </c>
      <c r="O20" s="15">
        <v>0</v>
      </c>
      <c r="P20" s="12" t="s">
        <v>384</v>
      </c>
      <c r="Q20" s="13" t="s">
        <v>385</v>
      </c>
      <c r="R20" s="15">
        <v>0</v>
      </c>
      <c r="S20" s="12" t="s">
        <v>384</v>
      </c>
      <c r="T20" s="13" t="s">
        <v>385</v>
      </c>
      <c r="U20" s="15">
        <v>0</v>
      </c>
      <c r="V20" s="12" t="s">
        <v>384</v>
      </c>
      <c r="W20" s="13" t="s">
        <v>385</v>
      </c>
      <c r="X20" s="15">
        <v>0</v>
      </c>
      <c r="Y20" s="12" t="s">
        <v>384</v>
      </c>
      <c r="Z20" s="13" t="s">
        <v>385</v>
      </c>
      <c r="AA20" s="15">
        <v>0</v>
      </c>
      <c r="AB20" s="12" t="s">
        <v>384</v>
      </c>
      <c r="AC20" s="13" t="s">
        <v>385</v>
      </c>
      <c r="AD20" s="15">
        <v>0</v>
      </c>
      <c r="AE20" s="12" t="s">
        <v>384</v>
      </c>
      <c r="AF20" s="13" t="s">
        <v>385</v>
      </c>
      <c r="AG20" s="15">
        <v>0</v>
      </c>
      <c r="AH20" s="8" t="s">
        <v>386</v>
      </c>
      <c r="AI20" s="13" t="s">
        <v>387</v>
      </c>
      <c r="AJ20" s="8"/>
      <c r="AK20" s="8" t="s">
        <v>386</v>
      </c>
      <c r="AL20" s="13" t="s">
        <v>387</v>
      </c>
      <c r="AM20" s="8"/>
      <c r="AN20" s="8" t="s">
        <v>386</v>
      </c>
      <c r="AO20" s="13" t="s">
        <v>387</v>
      </c>
      <c r="AP20" s="8"/>
    </row>
    <row r="21" spans="1:42" ht="28.05" customHeight="1" x14ac:dyDescent="0.3">
      <c r="A21" s="5">
        <v>17</v>
      </c>
      <c r="B21" s="5" t="s">
        <v>391</v>
      </c>
      <c r="C21" s="5" t="s">
        <v>154</v>
      </c>
      <c r="D21" s="6" t="s">
        <v>488</v>
      </c>
      <c r="E21" s="6" t="s">
        <v>489</v>
      </c>
      <c r="F21" s="5" t="s">
        <v>485</v>
      </c>
      <c r="G21" s="11" t="s">
        <v>386</v>
      </c>
      <c r="H21" s="13" t="s">
        <v>387</v>
      </c>
      <c r="I21" s="11"/>
      <c r="J21" s="11" t="s">
        <v>386</v>
      </c>
      <c r="K21" s="13" t="s">
        <v>387</v>
      </c>
      <c r="L21" s="11"/>
      <c r="M21" s="11" t="s">
        <v>386</v>
      </c>
      <c r="N21" s="13" t="s">
        <v>387</v>
      </c>
      <c r="O21" s="11"/>
      <c r="P21" s="12" t="s">
        <v>384</v>
      </c>
      <c r="Q21" s="13" t="s">
        <v>385</v>
      </c>
      <c r="R21" s="14">
        <v>0</v>
      </c>
      <c r="S21" s="12" t="s">
        <v>384</v>
      </c>
      <c r="T21" s="13" t="s">
        <v>385</v>
      </c>
      <c r="U21" s="14">
        <v>0</v>
      </c>
      <c r="V21" s="12" t="s">
        <v>384</v>
      </c>
      <c r="W21" s="13" t="s">
        <v>385</v>
      </c>
      <c r="X21" s="14">
        <v>0</v>
      </c>
      <c r="Y21" s="12" t="s">
        <v>384</v>
      </c>
      <c r="Z21" s="13" t="s">
        <v>385</v>
      </c>
      <c r="AA21" s="14">
        <v>0</v>
      </c>
      <c r="AB21" s="12" t="s">
        <v>384</v>
      </c>
      <c r="AC21" s="13" t="s">
        <v>385</v>
      </c>
      <c r="AD21" s="14">
        <v>0</v>
      </c>
      <c r="AE21" s="12" t="s">
        <v>384</v>
      </c>
      <c r="AF21" s="13" t="s">
        <v>385</v>
      </c>
      <c r="AG21" s="14">
        <v>0</v>
      </c>
      <c r="AH21" s="12" t="s">
        <v>384</v>
      </c>
      <c r="AI21" s="13" t="s">
        <v>385</v>
      </c>
      <c r="AJ21" s="14">
        <v>0</v>
      </c>
      <c r="AK21" s="12" t="s">
        <v>384</v>
      </c>
      <c r="AL21" s="13" t="s">
        <v>385</v>
      </c>
      <c r="AM21" s="14">
        <v>0</v>
      </c>
      <c r="AN21" s="12" t="s">
        <v>384</v>
      </c>
      <c r="AO21" s="13" t="s">
        <v>385</v>
      </c>
      <c r="AP21" s="14">
        <v>0</v>
      </c>
    </row>
    <row r="22" spans="1:42" ht="28.05" customHeight="1" x14ac:dyDescent="0.3">
      <c r="A22" s="9">
        <v>18</v>
      </c>
      <c r="B22" s="9" t="s">
        <v>392</v>
      </c>
      <c r="C22" s="9" t="s">
        <v>142</v>
      </c>
      <c r="D22" s="10" t="s">
        <v>492</v>
      </c>
      <c r="E22" s="10" t="s">
        <v>493</v>
      </c>
      <c r="F22" s="9" t="s">
        <v>494</v>
      </c>
      <c r="G22" s="12" t="s">
        <v>384</v>
      </c>
      <c r="H22" s="13" t="s">
        <v>385</v>
      </c>
      <c r="I22" s="15">
        <v>0</v>
      </c>
      <c r="J22" s="12" t="s">
        <v>384</v>
      </c>
      <c r="K22" s="13" t="s">
        <v>385</v>
      </c>
      <c r="L22" s="15">
        <v>0</v>
      </c>
      <c r="M22" s="12" t="s">
        <v>384</v>
      </c>
      <c r="N22" s="13" t="s">
        <v>385</v>
      </c>
      <c r="O22" s="15">
        <v>0</v>
      </c>
      <c r="P22" s="12" t="s">
        <v>384</v>
      </c>
      <c r="Q22" s="13" t="s">
        <v>385</v>
      </c>
      <c r="R22" s="15">
        <v>0</v>
      </c>
      <c r="S22" s="8" t="s">
        <v>386</v>
      </c>
      <c r="T22" s="13" t="s">
        <v>387</v>
      </c>
      <c r="U22" s="8"/>
      <c r="V22" s="8" t="s">
        <v>386</v>
      </c>
      <c r="W22" s="13" t="s">
        <v>387</v>
      </c>
      <c r="X22" s="8"/>
      <c r="Y22" s="8" t="s">
        <v>386</v>
      </c>
      <c r="Z22" s="13" t="s">
        <v>387</v>
      </c>
      <c r="AA22" s="8"/>
      <c r="AB22" s="8" t="s">
        <v>386</v>
      </c>
      <c r="AC22" s="13" t="s">
        <v>387</v>
      </c>
      <c r="AD22" s="8"/>
      <c r="AE22" s="8" t="s">
        <v>386</v>
      </c>
      <c r="AF22" s="13" t="s">
        <v>387</v>
      </c>
      <c r="AG22" s="8"/>
      <c r="AH22" s="8" t="s">
        <v>386</v>
      </c>
      <c r="AI22" s="13" t="s">
        <v>387</v>
      </c>
      <c r="AJ22" s="8"/>
      <c r="AK22" s="8" t="s">
        <v>386</v>
      </c>
      <c r="AL22" s="13" t="s">
        <v>387</v>
      </c>
      <c r="AM22" s="8"/>
      <c r="AN22" s="8" t="s">
        <v>386</v>
      </c>
      <c r="AO22" s="13" t="s">
        <v>387</v>
      </c>
      <c r="AP22" s="8"/>
    </row>
    <row r="23" spans="1:42" ht="28.05" customHeight="1" x14ac:dyDescent="0.3">
      <c r="A23" s="5">
        <v>19</v>
      </c>
      <c r="B23" s="5" t="s">
        <v>392</v>
      </c>
      <c r="C23" s="5" t="s">
        <v>147</v>
      </c>
      <c r="D23" s="6" t="s">
        <v>495</v>
      </c>
      <c r="E23" s="6" t="s">
        <v>496</v>
      </c>
      <c r="F23" s="5" t="s">
        <v>448</v>
      </c>
      <c r="G23" s="12" t="s">
        <v>384</v>
      </c>
      <c r="H23" s="13" t="s">
        <v>385</v>
      </c>
      <c r="I23" s="14">
        <v>0</v>
      </c>
      <c r="J23" s="12" t="s">
        <v>384</v>
      </c>
      <c r="K23" s="13" t="s">
        <v>385</v>
      </c>
      <c r="L23" s="14">
        <v>0</v>
      </c>
      <c r="M23" s="12" t="s">
        <v>384</v>
      </c>
      <c r="N23" s="13" t="s">
        <v>385</v>
      </c>
      <c r="O23" s="14">
        <v>0</v>
      </c>
      <c r="P23" s="12" t="s">
        <v>384</v>
      </c>
      <c r="Q23" s="13" t="s">
        <v>385</v>
      </c>
      <c r="R23" s="14">
        <v>0</v>
      </c>
      <c r="S23" s="11" t="s">
        <v>386</v>
      </c>
      <c r="T23" s="13" t="s">
        <v>387</v>
      </c>
      <c r="U23" s="11"/>
      <c r="V23" s="11" t="s">
        <v>386</v>
      </c>
      <c r="W23" s="13" t="s">
        <v>387</v>
      </c>
      <c r="X23" s="11"/>
      <c r="Y23" s="11" t="s">
        <v>386</v>
      </c>
      <c r="Z23" s="13" t="s">
        <v>387</v>
      </c>
      <c r="AA23" s="11"/>
      <c r="AB23" s="11" t="s">
        <v>386</v>
      </c>
      <c r="AC23" s="13" t="s">
        <v>387</v>
      </c>
      <c r="AD23" s="11"/>
      <c r="AE23" s="11" t="s">
        <v>386</v>
      </c>
      <c r="AF23" s="13" t="s">
        <v>387</v>
      </c>
      <c r="AG23" s="11"/>
      <c r="AH23" s="11" t="s">
        <v>386</v>
      </c>
      <c r="AI23" s="13" t="s">
        <v>387</v>
      </c>
      <c r="AJ23" s="11"/>
      <c r="AK23" s="11" t="s">
        <v>386</v>
      </c>
      <c r="AL23" s="13" t="s">
        <v>387</v>
      </c>
      <c r="AM23" s="11"/>
      <c r="AN23" s="11" t="s">
        <v>386</v>
      </c>
      <c r="AO23" s="13" t="s">
        <v>387</v>
      </c>
      <c r="AP23" s="11"/>
    </row>
    <row r="24" spans="1:42" ht="28.05" customHeight="1" x14ac:dyDescent="0.3">
      <c r="A24" s="9">
        <v>20</v>
      </c>
      <c r="B24" s="9" t="s">
        <v>392</v>
      </c>
      <c r="C24" s="9" t="s">
        <v>151</v>
      </c>
      <c r="D24" s="10" t="s">
        <v>497</v>
      </c>
      <c r="E24" s="10" t="s">
        <v>498</v>
      </c>
      <c r="F24" s="9" t="s">
        <v>448</v>
      </c>
      <c r="G24" s="8" t="s">
        <v>386</v>
      </c>
      <c r="H24" s="13" t="s">
        <v>387</v>
      </c>
      <c r="I24" s="8"/>
      <c r="J24" s="8" t="s">
        <v>386</v>
      </c>
      <c r="K24" s="13" t="s">
        <v>387</v>
      </c>
      <c r="L24" s="8"/>
      <c r="M24" s="12" t="s">
        <v>384</v>
      </c>
      <c r="N24" s="13" t="s">
        <v>385</v>
      </c>
      <c r="O24" s="15">
        <v>0</v>
      </c>
      <c r="P24" s="12" t="s">
        <v>384</v>
      </c>
      <c r="Q24" s="13" t="s">
        <v>385</v>
      </c>
      <c r="R24" s="15">
        <v>0</v>
      </c>
      <c r="S24" s="12" t="s">
        <v>384</v>
      </c>
      <c r="T24" s="13" t="s">
        <v>385</v>
      </c>
      <c r="U24" s="15">
        <v>0</v>
      </c>
      <c r="V24" s="12" t="s">
        <v>384</v>
      </c>
      <c r="W24" s="13" t="s">
        <v>385</v>
      </c>
      <c r="X24" s="15">
        <v>0</v>
      </c>
      <c r="Y24" s="12" t="s">
        <v>384</v>
      </c>
      <c r="Z24" s="13" t="s">
        <v>385</v>
      </c>
      <c r="AA24" s="15">
        <v>0</v>
      </c>
      <c r="AB24" s="12" t="s">
        <v>384</v>
      </c>
      <c r="AC24" s="13" t="s">
        <v>385</v>
      </c>
      <c r="AD24" s="15">
        <v>0</v>
      </c>
      <c r="AE24" s="12" t="s">
        <v>384</v>
      </c>
      <c r="AF24" s="13" t="s">
        <v>385</v>
      </c>
      <c r="AG24" s="15">
        <v>0</v>
      </c>
      <c r="AH24" s="12" t="s">
        <v>384</v>
      </c>
      <c r="AI24" s="13" t="s">
        <v>385</v>
      </c>
      <c r="AJ24" s="15">
        <v>0</v>
      </c>
      <c r="AK24" s="12" t="s">
        <v>384</v>
      </c>
      <c r="AL24" s="13" t="s">
        <v>385</v>
      </c>
      <c r="AM24" s="15">
        <v>0</v>
      </c>
      <c r="AN24" s="12" t="s">
        <v>384</v>
      </c>
      <c r="AO24" s="13" t="s">
        <v>385</v>
      </c>
      <c r="AP24" s="15">
        <v>0</v>
      </c>
    </row>
    <row r="25" spans="1:42" ht="28.05" customHeight="1" x14ac:dyDescent="0.3">
      <c r="A25" s="5">
        <v>21</v>
      </c>
      <c r="B25" s="5" t="s">
        <v>392</v>
      </c>
      <c r="C25" s="5" t="s">
        <v>154</v>
      </c>
      <c r="D25" s="6" t="s">
        <v>499</v>
      </c>
      <c r="E25" s="6" t="s">
        <v>500</v>
      </c>
      <c r="F25" s="5" t="s">
        <v>448</v>
      </c>
      <c r="G25" s="11" t="s">
        <v>386</v>
      </c>
      <c r="H25" s="13" t="s">
        <v>387</v>
      </c>
      <c r="I25" s="11"/>
      <c r="J25" s="11" t="s">
        <v>386</v>
      </c>
      <c r="K25" s="13" t="s">
        <v>387</v>
      </c>
      <c r="L25" s="11"/>
      <c r="M25" s="11" t="s">
        <v>386</v>
      </c>
      <c r="N25" s="13" t="s">
        <v>387</v>
      </c>
      <c r="O25" s="11"/>
      <c r="P25" s="11" t="s">
        <v>386</v>
      </c>
      <c r="Q25" s="13" t="s">
        <v>387</v>
      </c>
      <c r="R25" s="11"/>
      <c r="S25" s="12" t="s">
        <v>384</v>
      </c>
      <c r="T25" s="13" t="s">
        <v>385</v>
      </c>
      <c r="U25" s="14">
        <v>0</v>
      </c>
      <c r="V25" s="12" t="s">
        <v>384</v>
      </c>
      <c r="W25" s="13" t="s">
        <v>385</v>
      </c>
      <c r="X25" s="14">
        <v>0</v>
      </c>
      <c r="Y25" s="11" t="s">
        <v>386</v>
      </c>
      <c r="Z25" s="13" t="s">
        <v>387</v>
      </c>
      <c r="AA25" s="11"/>
      <c r="AB25" s="11" t="s">
        <v>386</v>
      </c>
      <c r="AC25" s="13" t="s">
        <v>387</v>
      </c>
      <c r="AD25" s="11"/>
      <c r="AE25" s="12" t="s">
        <v>384</v>
      </c>
      <c r="AF25" s="13" t="s">
        <v>385</v>
      </c>
      <c r="AG25" s="14">
        <v>0</v>
      </c>
      <c r="AH25" s="12" t="s">
        <v>384</v>
      </c>
      <c r="AI25" s="13" t="s">
        <v>385</v>
      </c>
      <c r="AJ25" s="14">
        <v>0</v>
      </c>
      <c r="AK25" s="11" t="s">
        <v>386</v>
      </c>
      <c r="AL25" s="13" t="s">
        <v>387</v>
      </c>
      <c r="AM25" s="11"/>
      <c r="AN25" s="11" t="s">
        <v>386</v>
      </c>
      <c r="AO25" s="13" t="s">
        <v>387</v>
      </c>
      <c r="AP25" s="11"/>
    </row>
    <row r="26" spans="1:42" ht="28.05" customHeight="1" x14ac:dyDescent="0.3">
      <c r="A26" s="9">
        <v>22</v>
      </c>
      <c r="B26" s="9" t="s">
        <v>393</v>
      </c>
      <c r="C26" s="9" t="s">
        <v>142</v>
      </c>
      <c r="D26" s="10" t="s">
        <v>503</v>
      </c>
      <c r="E26" s="10" t="s">
        <v>504</v>
      </c>
      <c r="F26" s="9" t="s">
        <v>485</v>
      </c>
      <c r="G26" s="8" t="s">
        <v>386</v>
      </c>
      <c r="H26" s="13" t="s">
        <v>387</v>
      </c>
      <c r="I26" s="8"/>
      <c r="J26" s="8" t="s">
        <v>386</v>
      </c>
      <c r="K26" s="13" t="s">
        <v>387</v>
      </c>
      <c r="L26" s="8"/>
      <c r="M26" s="12" t="s">
        <v>384</v>
      </c>
      <c r="N26" s="13" t="s">
        <v>385</v>
      </c>
      <c r="O26" s="15">
        <v>0</v>
      </c>
      <c r="P26" s="12" t="s">
        <v>384</v>
      </c>
      <c r="Q26" s="13" t="s">
        <v>385</v>
      </c>
      <c r="R26" s="15">
        <v>0</v>
      </c>
      <c r="S26" s="8" t="s">
        <v>386</v>
      </c>
      <c r="T26" s="13" t="s">
        <v>387</v>
      </c>
      <c r="U26" s="8"/>
      <c r="V26" s="8" t="s">
        <v>386</v>
      </c>
      <c r="W26" s="13" t="s">
        <v>387</v>
      </c>
      <c r="X26" s="8"/>
      <c r="Y26" s="8" t="s">
        <v>386</v>
      </c>
      <c r="Z26" s="13" t="s">
        <v>387</v>
      </c>
      <c r="AA26" s="8"/>
      <c r="AB26" s="8" t="s">
        <v>386</v>
      </c>
      <c r="AC26" s="13" t="s">
        <v>387</v>
      </c>
      <c r="AD26" s="8"/>
      <c r="AE26" s="8" t="s">
        <v>386</v>
      </c>
      <c r="AF26" s="13" t="s">
        <v>387</v>
      </c>
      <c r="AG26" s="8"/>
      <c r="AH26" s="8" t="s">
        <v>386</v>
      </c>
      <c r="AI26" s="13" t="s">
        <v>387</v>
      </c>
      <c r="AJ26" s="8"/>
      <c r="AK26" s="8" t="s">
        <v>386</v>
      </c>
      <c r="AL26" s="13" t="s">
        <v>387</v>
      </c>
      <c r="AM26" s="8"/>
      <c r="AN26" s="8" t="s">
        <v>386</v>
      </c>
      <c r="AO26" s="13" t="s">
        <v>387</v>
      </c>
      <c r="AP26" s="8"/>
    </row>
    <row r="27" spans="1:42" ht="28.05" customHeight="1" x14ac:dyDescent="0.3">
      <c r="A27" s="5">
        <v>23</v>
      </c>
      <c r="B27" s="5" t="s">
        <v>393</v>
      </c>
      <c r="C27" s="5" t="s">
        <v>147</v>
      </c>
      <c r="D27" s="6" t="s">
        <v>505</v>
      </c>
      <c r="E27" s="6" t="s">
        <v>506</v>
      </c>
      <c r="F27" s="5" t="s">
        <v>448</v>
      </c>
      <c r="G27" s="11" t="s">
        <v>386</v>
      </c>
      <c r="H27" s="13" t="s">
        <v>387</v>
      </c>
      <c r="I27" s="11"/>
      <c r="J27" s="11" t="s">
        <v>386</v>
      </c>
      <c r="K27" s="13" t="s">
        <v>387</v>
      </c>
      <c r="L27" s="11"/>
      <c r="M27" s="12" t="s">
        <v>384</v>
      </c>
      <c r="N27" s="13" t="s">
        <v>385</v>
      </c>
      <c r="O27" s="14">
        <v>0</v>
      </c>
      <c r="P27" s="12" t="s">
        <v>384</v>
      </c>
      <c r="Q27" s="13" t="s">
        <v>385</v>
      </c>
      <c r="R27" s="14">
        <v>0</v>
      </c>
      <c r="S27" s="11" t="s">
        <v>386</v>
      </c>
      <c r="T27" s="13" t="s">
        <v>387</v>
      </c>
      <c r="U27" s="11"/>
      <c r="V27" s="11" t="s">
        <v>386</v>
      </c>
      <c r="W27" s="13" t="s">
        <v>387</v>
      </c>
      <c r="X27" s="11"/>
      <c r="Y27" s="11" t="s">
        <v>386</v>
      </c>
      <c r="Z27" s="13" t="s">
        <v>387</v>
      </c>
      <c r="AA27" s="11"/>
      <c r="AB27" s="11" t="s">
        <v>386</v>
      </c>
      <c r="AC27" s="13" t="s">
        <v>387</v>
      </c>
      <c r="AD27" s="11"/>
      <c r="AE27" s="11" t="s">
        <v>386</v>
      </c>
      <c r="AF27" s="13" t="s">
        <v>387</v>
      </c>
      <c r="AG27" s="11"/>
      <c r="AH27" s="11" t="s">
        <v>386</v>
      </c>
      <c r="AI27" s="13" t="s">
        <v>387</v>
      </c>
      <c r="AJ27" s="11"/>
      <c r="AK27" s="11" t="s">
        <v>386</v>
      </c>
      <c r="AL27" s="13" t="s">
        <v>387</v>
      </c>
      <c r="AM27" s="11"/>
      <c r="AN27" s="11" t="s">
        <v>386</v>
      </c>
      <c r="AO27" s="13" t="s">
        <v>387</v>
      </c>
      <c r="AP27" s="11"/>
    </row>
    <row r="28" spans="1:42" ht="28.05" customHeight="1" x14ac:dyDescent="0.3">
      <c r="A28" s="9">
        <v>24</v>
      </c>
      <c r="B28" s="9" t="s">
        <v>393</v>
      </c>
      <c r="C28" s="9" t="s">
        <v>151</v>
      </c>
      <c r="D28" s="10" t="s">
        <v>507</v>
      </c>
      <c r="E28" s="10" t="s">
        <v>508</v>
      </c>
      <c r="F28" s="9" t="s">
        <v>485</v>
      </c>
      <c r="G28" s="8" t="s">
        <v>386</v>
      </c>
      <c r="H28" s="13" t="s">
        <v>387</v>
      </c>
      <c r="I28" s="8"/>
      <c r="J28" s="8" t="s">
        <v>386</v>
      </c>
      <c r="K28" s="13" t="s">
        <v>387</v>
      </c>
      <c r="L28" s="8"/>
      <c r="M28" s="8" t="s">
        <v>386</v>
      </c>
      <c r="N28" s="13" t="s">
        <v>387</v>
      </c>
      <c r="O28" s="8"/>
      <c r="P28" s="12" t="s">
        <v>384</v>
      </c>
      <c r="Q28" s="13" t="s">
        <v>385</v>
      </c>
      <c r="R28" s="15">
        <v>0</v>
      </c>
      <c r="S28" s="12" t="s">
        <v>384</v>
      </c>
      <c r="T28" s="13" t="s">
        <v>385</v>
      </c>
      <c r="U28" s="15">
        <v>0</v>
      </c>
      <c r="V28" s="12" t="s">
        <v>384</v>
      </c>
      <c r="W28" s="13" t="s">
        <v>385</v>
      </c>
      <c r="X28" s="15">
        <v>0</v>
      </c>
      <c r="Y28" s="8" t="s">
        <v>386</v>
      </c>
      <c r="Z28" s="13" t="s">
        <v>387</v>
      </c>
      <c r="AA28" s="8"/>
      <c r="AB28" s="8" t="s">
        <v>386</v>
      </c>
      <c r="AC28" s="13" t="s">
        <v>387</v>
      </c>
      <c r="AD28" s="8"/>
      <c r="AE28" s="8" t="s">
        <v>386</v>
      </c>
      <c r="AF28" s="13" t="s">
        <v>387</v>
      </c>
      <c r="AG28" s="8"/>
      <c r="AH28" s="8" t="s">
        <v>386</v>
      </c>
      <c r="AI28" s="13" t="s">
        <v>387</v>
      </c>
      <c r="AJ28" s="8"/>
      <c r="AK28" s="8" t="s">
        <v>386</v>
      </c>
      <c r="AL28" s="13" t="s">
        <v>387</v>
      </c>
      <c r="AM28" s="8"/>
      <c r="AN28" s="8" t="s">
        <v>386</v>
      </c>
      <c r="AO28" s="13" t="s">
        <v>387</v>
      </c>
      <c r="AP28" s="8"/>
    </row>
    <row r="29" spans="1:42" ht="28.05" customHeight="1" x14ac:dyDescent="0.3">
      <c r="A29" s="5">
        <v>25</v>
      </c>
      <c r="B29" s="5" t="s">
        <v>393</v>
      </c>
      <c r="C29" s="5" t="s">
        <v>154</v>
      </c>
      <c r="D29" s="6" t="s">
        <v>509</v>
      </c>
      <c r="E29" s="6" t="s">
        <v>510</v>
      </c>
      <c r="F29" s="5" t="s">
        <v>485</v>
      </c>
      <c r="G29" s="11" t="s">
        <v>386</v>
      </c>
      <c r="H29" s="13" t="s">
        <v>387</v>
      </c>
      <c r="I29" s="11"/>
      <c r="J29" s="11" t="s">
        <v>386</v>
      </c>
      <c r="K29" s="13" t="s">
        <v>387</v>
      </c>
      <c r="L29" s="11"/>
      <c r="M29" s="11" t="s">
        <v>386</v>
      </c>
      <c r="N29" s="13" t="s">
        <v>387</v>
      </c>
      <c r="O29" s="11"/>
      <c r="P29" s="11" t="s">
        <v>386</v>
      </c>
      <c r="Q29" s="13" t="s">
        <v>387</v>
      </c>
      <c r="R29" s="11"/>
      <c r="S29" s="12" t="s">
        <v>384</v>
      </c>
      <c r="T29" s="13" t="s">
        <v>385</v>
      </c>
      <c r="U29" s="14">
        <v>0</v>
      </c>
      <c r="V29" s="12" t="s">
        <v>384</v>
      </c>
      <c r="W29" s="13" t="s">
        <v>385</v>
      </c>
      <c r="X29" s="14">
        <v>0</v>
      </c>
      <c r="Y29" s="12" t="s">
        <v>384</v>
      </c>
      <c r="Z29" s="13" t="s">
        <v>385</v>
      </c>
      <c r="AA29" s="14">
        <v>0</v>
      </c>
      <c r="AB29" s="12" t="s">
        <v>384</v>
      </c>
      <c r="AC29" s="13" t="s">
        <v>385</v>
      </c>
      <c r="AD29" s="14">
        <v>0</v>
      </c>
      <c r="AE29" s="12" t="s">
        <v>384</v>
      </c>
      <c r="AF29" s="13" t="s">
        <v>385</v>
      </c>
      <c r="AG29" s="14">
        <v>0</v>
      </c>
      <c r="AH29" s="12" t="s">
        <v>384</v>
      </c>
      <c r="AI29" s="13" t="s">
        <v>385</v>
      </c>
      <c r="AJ29" s="14">
        <v>0</v>
      </c>
      <c r="AK29" s="12" t="s">
        <v>384</v>
      </c>
      <c r="AL29" s="13" t="s">
        <v>385</v>
      </c>
      <c r="AM29" s="14">
        <v>0</v>
      </c>
      <c r="AN29" s="12" t="s">
        <v>384</v>
      </c>
      <c r="AO29" s="13" t="s">
        <v>385</v>
      </c>
      <c r="AP29" s="14">
        <v>0</v>
      </c>
    </row>
    <row r="30" spans="1:42" ht="28.05" customHeight="1" x14ac:dyDescent="0.3">
      <c r="A30" s="9">
        <v>26</v>
      </c>
      <c r="B30" s="9" t="s">
        <v>394</v>
      </c>
      <c r="C30" s="9" t="s">
        <v>142</v>
      </c>
      <c r="D30" s="10" t="s">
        <v>513</v>
      </c>
      <c r="E30" s="10" t="s">
        <v>514</v>
      </c>
      <c r="F30" s="9" t="s">
        <v>448</v>
      </c>
      <c r="G30" s="8" t="s">
        <v>386</v>
      </c>
      <c r="H30" s="13" t="s">
        <v>387</v>
      </c>
      <c r="I30" s="8"/>
      <c r="J30" s="8" t="s">
        <v>386</v>
      </c>
      <c r="K30" s="13" t="s">
        <v>387</v>
      </c>
      <c r="L30" s="8"/>
      <c r="M30" s="12" t="s">
        <v>384</v>
      </c>
      <c r="N30" s="13" t="s">
        <v>385</v>
      </c>
      <c r="O30" s="15">
        <v>0</v>
      </c>
      <c r="P30" s="12" t="s">
        <v>384</v>
      </c>
      <c r="Q30" s="13" t="s">
        <v>385</v>
      </c>
      <c r="R30" s="15">
        <v>0</v>
      </c>
      <c r="S30" s="8" t="s">
        <v>386</v>
      </c>
      <c r="T30" s="13" t="s">
        <v>387</v>
      </c>
      <c r="U30" s="8"/>
      <c r="V30" s="8" t="s">
        <v>386</v>
      </c>
      <c r="W30" s="13" t="s">
        <v>387</v>
      </c>
      <c r="X30" s="8"/>
      <c r="Y30" s="8" t="s">
        <v>386</v>
      </c>
      <c r="Z30" s="13" t="s">
        <v>387</v>
      </c>
      <c r="AA30" s="8"/>
      <c r="AB30" s="8" t="s">
        <v>386</v>
      </c>
      <c r="AC30" s="13" t="s">
        <v>387</v>
      </c>
      <c r="AD30" s="8"/>
      <c r="AE30" s="8" t="s">
        <v>386</v>
      </c>
      <c r="AF30" s="13" t="s">
        <v>387</v>
      </c>
      <c r="AG30" s="8"/>
      <c r="AH30" s="8" t="s">
        <v>386</v>
      </c>
      <c r="AI30" s="13" t="s">
        <v>387</v>
      </c>
      <c r="AJ30" s="8"/>
      <c r="AK30" s="8" t="s">
        <v>386</v>
      </c>
      <c r="AL30" s="13" t="s">
        <v>387</v>
      </c>
      <c r="AM30" s="8"/>
      <c r="AN30" s="8" t="s">
        <v>386</v>
      </c>
      <c r="AO30" s="13" t="s">
        <v>387</v>
      </c>
      <c r="AP30" s="8"/>
    </row>
    <row r="31" spans="1:42" ht="28.05" customHeight="1" x14ac:dyDescent="0.3">
      <c r="A31" s="5">
        <v>27</v>
      </c>
      <c r="B31" s="5" t="s">
        <v>394</v>
      </c>
      <c r="C31" s="5" t="s">
        <v>147</v>
      </c>
      <c r="D31" s="6" t="s">
        <v>515</v>
      </c>
      <c r="E31" s="6" t="s">
        <v>516</v>
      </c>
      <c r="F31" s="5" t="s">
        <v>448</v>
      </c>
      <c r="G31" s="11" t="s">
        <v>386</v>
      </c>
      <c r="H31" s="13" t="s">
        <v>387</v>
      </c>
      <c r="I31" s="11"/>
      <c r="J31" s="11" t="s">
        <v>386</v>
      </c>
      <c r="K31" s="13" t="s">
        <v>387</v>
      </c>
      <c r="L31" s="11"/>
      <c r="M31" s="12" t="s">
        <v>384</v>
      </c>
      <c r="N31" s="13" t="s">
        <v>385</v>
      </c>
      <c r="O31" s="14">
        <v>0</v>
      </c>
      <c r="P31" s="12" t="s">
        <v>384</v>
      </c>
      <c r="Q31" s="13" t="s">
        <v>385</v>
      </c>
      <c r="R31" s="14">
        <v>0</v>
      </c>
      <c r="S31" s="11" t="s">
        <v>386</v>
      </c>
      <c r="T31" s="13" t="s">
        <v>387</v>
      </c>
      <c r="U31" s="11"/>
      <c r="V31" s="11" t="s">
        <v>386</v>
      </c>
      <c r="W31" s="13" t="s">
        <v>387</v>
      </c>
      <c r="X31" s="11"/>
      <c r="Y31" s="11" t="s">
        <v>386</v>
      </c>
      <c r="Z31" s="13" t="s">
        <v>387</v>
      </c>
      <c r="AA31" s="11"/>
      <c r="AB31" s="11" t="s">
        <v>386</v>
      </c>
      <c r="AC31" s="13" t="s">
        <v>387</v>
      </c>
      <c r="AD31" s="11"/>
      <c r="AE31" s="11" t="s">
        <v>386</v>
      </c>
      <c r="AF31" s="13" t="s">
        <v>387</v>
      </c>
      <c r="AG31" s="11"/>
      <c r="AH31" s="11" t="s">
        <v>386</v>
      </c>
      <c r="AI31" s="13" t="s">
        <v>387</v>
      </c>
      <c r="AJ31" s="11"/>
      <c r="AK31" s="11" t="s">
        <v>386</v>
      </c>
      <c r="AL31" s="13" t="s">
        <v>387</v>
      </c>
      <c r="AM31" s="11"/>
      <c r="AN31" s="11" t="s">
        <v>386</v>
      </c>
      <c r="AO31" s="13" t="s">
        <v>387</v>
      </c>
      <c r="AP31" s="11"/>
    </row>
    <row r="32" spans="1:42" ht="28.05" customHeight="1" x14ac:dyDescent="0.3">
      <c r="A32" s="9">
        <v>28</v>
      </c>
      <c r="B32" s="9" t="s">
        <v>394</v>
      </c>
      <c r="C32" s="9" t="s">
        <v>151</v>
      </c>
      <c r="D32" s="10" t="s">
        <v>517</v>
      </c>
      <c r="E32" s="10" t="s">
        <v>518</v>
      </c>
      <c r="F32" s="9" t="s">
        <v>448</v>
      </c>
      <c r="G32" s="8" t="s">
        <v>386</v>
      </c>
      <c r="H32" s="13" t="s">
        <v>387</v>
      </c>
      <c r="I32" s="8"/>
      <c r="J32" s="8" t="s">
        <v>386</v>
      </c>
      <c r="K32" s="13" t="s">
        <v>387</v>
      </c>
      <c r="L32" s="8"/>
      <c r="M32" s="8" t="s">
        <v>386</v>
      </c>
      <c r="N32" s="13" t="s">
        <v>387</v>
      </c>
      <c r="O32" s="8"/>
      <c r="P32" s="12" t="s">
        <v>384</v>
      </c>
      <c r="Q32" s="13" t="s">
        <v>385</v>
      </c>
      <c r="R32" s="15">
        <v>0</v>
      </c>
      <c r="S32" s="12" t="s">
        <v>384</v>
      </c>
      <c r="T32" s="13" t="s">
        <v>385</v>
      </c>
      <c r="U32" s="15">
        <v>0</v>
      </c>
      <c r="V32" s="8" t="s">
        <v>386</v>
      </c>
      <c r="W32" s="13" t="s">
        <v>387</v>
      </c>
      <c r="X32" s="8"/>
      <c r="Y32" s="8" t="s">
        <v>386</v>
      </c>
      <c r="Z32" s="13" t="s">
        <v>387</v>
      </c>
      <c r="AA32" s="8"/>
      <c r="AB32" s="8" t="s">
        <v>386</v>
      </c>
      <c r="AC32" s="13" t="s">
        <v>387</v>
      </c>
      <c r="AD32" s="8"/>
      <c r="AE32" s="8" t="s">
        <v>386</v>
      </c>
      <c r="AF32" s="13" t="s">
        <v>387</v>
      </c>
      <c r="AG32" s="8"/>
      <c r="AH32" s="8" t="s">
        <v>386</v>
      </c>
      <c r="AI32" s="13" t="s">
        <v>387</v>
      </c>
      <c r="AJ32" s="8"/>
      <c r="AK32" s="8" t="s">
        <v>386</v>
      </c>
      <c r="AL32" s="13" t="s">
        <v>387</v>
      </c>
      <c r="AM32" s="8"/>
      <c r="AN32" s="8" t="s">
        <v>386</v>
      </c>
      <c r="AO32" s="13" t="s">
        <v>387</v>
      </c>
      <c r="AP32" s="8"/>
    </row>
    <row r="33" spans="1:42" ht="28.05" customHeight="1" x14ac:dyDescent="0.3">
      <c r="A33" s="5">
        <v>29</v>
      </c>
      <c r="B33" s="5" t="s">
        <v>394</v>
      </c>
      <c r="C33" s="5" t="s">
        <v>154</v>
      </c>
      <c r="D33" s="6" t="s">
        <v>519</v>
      </c>
      <c r="E33" s="6" t="s">
        <v>520</v>
      </c>
      <c r="F33" s="5" t="s">
        <v>448</v>
      </c>
      <c r="G33" s="11" t="s">
        <v>386</v>
      </c>
      <c r="H33" s="13" t="s">
        <v>387</v>
      </c>
      <c r="I33" s="11"/>
      <c r="J33" s="11" t="s">
        <v>386</v>
      </c>
      <c r="K33" s="13" t="s">
        <v>387</v>
      </c>
      <c r="L33" s="11"/>
      <c r="M33" s="11" t="s">
        <v>386</v>
      </c>
      <c r="N33" s="13" t="s">
        <v>387</v>
      </c>
      <c r="O33" s="11"/>
      <c r="P33" s="11" t="s">
        <v>386</v>
      </c>
      <c r="Q33" s="13" t="s">
        <v>387</v>
      </c>
      <c r="R33" s="11"/>
      <c r="S33" s="12" t="s">
        <v>384</v>
      </c>
      <c r="T33" s="13" t="s">
        <v>385</v>
      </c>
      <c r="U33" s="14">
        <v>0</v>
      </c>
      <c r="V33" s="12" t="s">
        <v>384</v>
      </c>
      <c r="W33" s="13" t="s">
        <v>385</v>
      </c>
      <c r="X33" s="14">
        <v>0</v>
      </c>
      <c r="Y33" s="12" t="s">
        <v>384</v>
      </c>
      <c r="Z33" s="13" t="s">
        <v>385</v>
      </c>
      <c r="AA33" s="14">
        <v>0</v>
      </c>
      <c r="AB33" s="12" t="s">
        <v>384</v>
      </c>
      <c r="AC33" s="13" t="s">
        <v>385</v>
      </c>
      <c r="AD33" s="14">
        <v>0</v>
      </c>
      <c r="AE33" s="12" t="s">
        <v>384</v>
      </c>
      <c r="AF33" s="13" t="s">
        <v>385</v>
      </c>
      <c r="AG33" s="14">
        <v>0</v>
      </c>
      <c r="AH33" s="12" t="s">
        <v>384</v>
      </c>
      <c r="AI33" s="13" t="s">
        <v>385</v>
      </c>
      <c r="AJ33" s="14">
        <v>0</v>
      </c>
      <c r="AK33" s="12" t="s">
        <v>384</v>
      </c>
      <c r="AL33" s="13" t="s">
        <v>385</v>
      </c>
      <c r="AM33" s="14">
        <v>0</v>
      </c>
      <c r="AN33" s="12" t="s">
        <v>384</v>
      </c>
      <c r="AO33" s="13" t="s">
        <v>385</v>
      </c>
      <c r="AP33" s="14">
        <v>0</v>
      </c>
    </row>
    <row r="34" spans="1:42" ht="28.05" customHeight="1" x14ac:dyDescent="0.3">
      <c r="A34" s="9">
        <v>30</v>
      </c>
      <c r="B34" s="9" t="s">
        <v>395</v>
      </c>
      <c r="C34" s="9" t="s">
        <v>142</v>
      </c>
      <c r="D34" s="10" t="s">
        <v>523</v>
      </c>
      <c r="E34" s="10" t="s">
        <v>524</v>
      </c>
      <c r="F34" s="9" t="s">
        <v>448</v>
      </c>
      <c r="G34" s="12" t="s">
        <v>384</v>
      </c>
      <c r="H34" s="13" t="s">
        <v>385</v>
      </c>
      <c r="I34" s="15">
        <v>0</v>
      </c>
      <c r="J34" s="12" t="s">
        <v>384</v>
      </c>
      <c r="K34" s="13" t="s">
        <v>385</v>
      </c>
      <c r="L34" s="15">
        <v>0</v>
      </c>
      <c r="M34" s="12" t="s">
        <v>384</v>
      </c>
      <c r="N34" s="13" t="s">
        <v>385</v>
      </c>
      <c r="O34" s="15">
        <v>0</v>
      </c>
      <c r="P34" s="8" t="s">
        <v>386</v>
      </c>
      <c r="Q34" s="13" t="s">
        <v>387</v>
      </c>
      <c r="R34" s="8"/>
      <c r="S34" s="8" t="s">
        <v>386</v>
      </c>
      <c r="T34" s="13" t="s">
        <v>387</v>
      </c>
      <c r="U34" s="8"/>
      <c r="V34" s="8" t="s">
        <v>386</v>
      </c>
      <c r="W34" s="13" t="s">
        <v>387</v>
      </c>
      <c r="X34" s="8"/>
      <c r="Y34" s="8" t="s">
        <v>386</v>
      </c>
      <c r="Z34" s="13" t="s">
        <v>387</v>
      </c>
      <c r="AA34" s="8"/>
      <c r="AB34" s="8" t="s">
        <v>386</v>
      </c>
      <c r="AC34" s="13" t="s">
        <v>387</v>
      </c>
      <c r="AD34" s="8"/>
      <c r="AE34" s="8" t="s">
        <v>386</v>
      </c>
      <c r="AF34" s="13" t="s">
        <v>387</v>
      </c>
      <c r="AG34" s="8"/>
      <c r="AH34" s="8" t="s">
        <v>386</v>
      </c>
      <c r="AI34" s="13" t="s">
        <v>387</v>
      </c>
      <c r="AJ34" s="8"/>
      <c r="AK34" s="8" t="s">
        <v>386</v>
      </c>
      <c r="AL34" s="13" t="s">
        <v>387</v>
      </c>
      <c r="AM34" s="8"/>
      <c r="AN34" s="8" t="s">
        <v>386</v>
      </c>
      <c r="AO34" s="13" t="s">
        <v>387</v>
      </c>
      <c r="AP34" s="8"/>
    </row>
    <row r="35" spans="1:42" ht="28.05" customHeight="1" x14ac:dyDescent="0.3">
      <c r="A35" s="5">
        <v>31</v>
      </c>
      <c r="B35" s="5" t="s">
        <v>395</v>
      </c>
      <c r="C35" s="5" t="s">
        <v>147</v>
      </c>
      <c r="D35" s="6" t="s">
        <v>525</v>
      </c>
      <c r="E35" s="6" t="s">
        <v>526</v>
      </c>
      <c r="F35" s="5" t="s">
        <v>448</v>
      </c>
      <c r="G35" s="12" t="s">
        <v>384</v>
      </c>
      <c r="H35" s="13" t="s">
        <v>385</v>
      </c>
      <c r="I35" s="14">
        <v>0</v>
      </c>
      <c r="J35" s="12" t="s">
        <v>384</v>
      </c>
      <c r="K35" s="13" t="s">
        <v>385</v>
      </c>
      <c r="L35" s="14">
        <v>0</v>
      </c>
      <c r="M35" s="12" t="s">
        <v>384</v>
      </c>
      <c r="N35" s="13" t="s">
        <v>385</v>
      </c>
      <c r="O35" s="14">
        <v>0</v>
      </c>
      <c r="P35" s="12" t="s">
        <v>384</v>
      </c>
      <c r="Q35" s="13" t="s">
        <v>385</v>
      </c>
      <c r="R35" s="14">
        <v>0</v>
      </c>
      <c r="S35" s="12" t="s">
        <v>384</v>
      </c>
      <c r="T35" s="13" t="s">
        <v>385</v>
      </c>
      <c r="U35" s="14">
        <v>0</v>
      </c>
      <c r="V35" s="12" t="s">
        <v>384</v>
      </c>
      <c r="W35" s="13" t="s">
        <v>385</v>
      </c>
      <c r="X35" s="14">
        <v>0</v>
      </c>
      <c r="Y35" s="12" t="s">
        <v>384</v>
      </c>
      <c r="Z35" s="13" t="s">
        <v>385</v>
      </c>
      <c r="AA35" s="14">
        <v>0</v>
      </c>
      <c r="AB35" s="12" t="s">
        <v>384</v>
      </c>
      <c r="AC35" s="13" t="s">
        <v>385</v>
      </c>
      <c r="AD35" s="14">
        <v>0</v>
      </c>
      <c r="AE35" s="12" t="s">
        <v>384</v>
      </c>
      <c r="AF35" s="13" t="s">
        <v>385</v>
      </c>
      <c r="AG35" s="14">
        <v>0</v>
      </c>
      <c r="AH35" s="12" t="s">
        <v>384</v>
      </c>
      <c r="AI35" s="13" t="s">
        <v>385</v>
      </c>
      <c r="AJ35" s="14">
        <v>0</v>
      </c>
      <c r="AK35" s="11" t="s">
        <v>386</v>
      </c>
      <c r="AL35" s="13" t="s">
        <v>387</v>
      </c>
      <c r="AM35" s="11"/>
      <c r="AN35" s="11" t="s">
        <v>386</v>
      </c>
      <c r="AO35" s="13" t="s">
        <v>387</v>
      </c>
      <c r="AP35" s="11"/>
    </row>
    <row r="36" spans="1:42" ht="28.05" customHeight="1" x14ac:dyDescent="0.3">
      <c r="A36" s="9">
        <v>32</v>
      </c>
      <c r="B36" s="9" t="s">
        <v>395</v>
      </c>
      <c r="C36" s="9" t="s">
        <v>151</v>
      </c>
      <c r="D36" s="10" t="s">
        <v>527</v>
      </c>
      <c r="E36" s="10" t="s">
        <v>528</v>
      </c>
      <c r="F36" s="9" t="s">
        <v>448</v>
      </c>
      <c r="G36" s="12" t="s">
        <v>384</v>
      </c>
      <c r="H36" s="13" t="s">
        <v>385</v>
      </c>
      <c r="I36" s="15">
        <v>0</v>
      </c>
      <c r="J36" s="12" t="s">
        <v>384</v>
      </c>
      <c r="K36" s="13" t="s">
        <v>385</v>
      </c>
      <c r="L36" s="15">
        <v>0</v>
      </c>
      <c r="M36" s="12" t="s">
        <v>384</v>
      </c>
      <c r="N36" s="13" t="s">
        <v>385</v>
      </c>
      <c r="O36" s="15">
        <v>0</v>
      </c>
      <c r="P36" s="12" t="s">
        <v>384</v>
      </c>
      <c r="Q36" s="13" t="s">
        <v>385</v>
      </c>
      <c r="R36" s="15">
        <v>0</v>
      </c>
      <c r="S36" s="12" t="s">
        <v>384</v>
      </c>
      <c r="T36" s="13" t="s">
        <v>385</v>
      </c>
      <c r="U36" s="15">
        <v>0</v>
      </c>
      <c r="V36" s="12" t="s">
        <v>384</v>
      </c>
      <c r="W36" s="13" t="s">
        <v>385</v>
      </c>
      <c r="X36" s="15">
        <v>0</v>
      </c>
      <c r="Y36" s="12" t="s">
        <v>384</v>
      </c>
      <c r="Z36" s="13" t="s">
        <v>385</v>
      </c>
      <c r="AA36" s="15">
        <v>0</v>
      </c>
      <c r="AB36" s="12" t="s">
        <v>384</v>
      </c>
      <c r="AC36" s="13" t="s">
        <v>385</v>
      </c>
      <c r="AD36" s="15">
        <v>0</v>
      </c>
      <c r="AE36" s="12" t="s">
        <v>384</v>
      </c>
      <c r="AF36" s="13" t="s">
        <v>385</v>
      </c>
      <c r="AG36" s="15">
        <v>0</v>
      </c>
      <c r="AH36" s="12" t="s">
        <v>384</v>
      </c>
      <c r="AI36" s="13" t="s">
        <v>385</v>
      </c>
      <c r="AJ36" s="15">
        <v>0</v>
      </c>
      <c r="AK36" s="8" t="s">
        <v>386</v>
      </c>
      <c r="AL36" s="13" t="s">
        <v>387</v>
      </c>
      <c r="AM36" s="8"/>
      <c r="AN36" s="8" t="s">
        <v>386</v>
      </c>
      <c r="AO36" s="13" t="s">
        <v>387</v>
      </c>
      <c r="AP36" s="8"/>
    </row>
    <row r="37" spans="1:42" ht="28.05" customHeight="1" x14ac:dyDescent="0.3">
      <c r="A37" s="5">
        <v>33</v>
      </c>
      <c r="B37" s="5" t="s">
        <v>396</v>
      </c>
      <c r="C37" s="5" t="s">
        <v>142</v>
      </c>
      <c r="D37" s="6" t="s">
        <v>532</v>
      </c>
      <c r="E37" s="6" t="s">
        <v>533</v>
      </c>
      <c r="F37" s="5" t="s">
        <v>534</v>
      </c>
      <c r="G37" s="11" t="s">
        <v>386</v>
      </c>
      <c r="H37" s="13" t="s">
        <v>387</v>
      </c>
      <c r="I37" s="11"/>
      <c r="J37" s="11" t="s">
        <v>386</v>
      </c>
      <c r="K37" s="13" t="s">
        <v>387</v>
      </c>
      <c r="L37" s="11"/>
      <c r="M37" s="12" t="s">
        <v>384</v>
      </c>
      <c r="N37" s="13" t="s">
        <v>385</v>
      </c>
      <c r="O37" s="14">
        <v>0</v>
      </c>
      <c r="P37" s="12" t="s">
        <v>384</v>
      </c>
      <c r="Q37" s="13" t="s">
        <v>385</v>
      </c>
      <c r="R37" s="14">
        <v>0</v>
      </c>
      <c r="S37" s="11" t="s">
        <v>386</v>
      </c>
      <c r="T37" s="13" t="s">
        <v>387</v>
      </c>
      <c r="U37" s="11"/>
      <c r="V37" s="11" t="s">
        <v>386</v>
      </c>
      <c r="W37" s="13" t="s">
        <v>387</v>
      </c>
      <c r="X37" s="11"/>
      <c r="Y37" s="11" t="s">
        <v>386</v>
      </c>
      <c r="Z37" s="13" t="s">
        <v>387</v>
      </c>
      <c r="AA37" s="11"/>
      <c r="AB37" s="11" t="s">
        <v>386</v>
      </c>
      <c r="AC37" s="13" t="s">
        <v>387</v>
      </c>
      <c r="AD37" s="11"/>
      <c r="AE37" s="11" t="s">
        <v>386</v>
      </c>
      <c r="AF37" s="13" t="s">
        <v>387</v>
      </c>
      <c r="AG37" s="11"/>
      <c r="AH37" s="11" t="s">
        <v>386</v>
      </c>
      <c r="AI37" s="13" t="s">
        <v>387</v>
      </c>
      <c r="AJ37" s="11"/>
      <c r="AK37" s="11" t="s">
        <v>386</v>
      </c>
      <c r="AL37" s="13" t="s">
        <v>387</v>
      </c>
      <c r="AM37" s="11"/>
      <c r="AN37" s="11" t="s">
        <v>386</v>
      </c>
      <c r="AO37" s="13" t="s">
        <v>387</v>
      </c>
      <c r="AP37" s="11"/>
    </row>
    <row r="38" spans="1:42" ht="28.05" customHeight="1" x14ac:dyDescent="0.3">
      <c r="A38" s="9">
        <v>34</v>
      </c>
      <c r="B38" s="9" t="s">
        <v>396</v>
      </c>
      <c r="C38" s="9" t="s">
        <v>147</v>
      </c>
      <c r="D38" s="10" t="s">
        <v>535</v>
      </c>
      <c r="E38" s="10" t="s">
        <v>536</v>
      </c>
      <c r="F38" s="9" t="s">
        <v>534</v>
      </c>
      <c r="G38" s="8" t="s">
        <v>386</v>
      </c>
      <c r="H38" s="13" t="s">
        <v>387</v>
      </c>
      <c r="I38" s="8"/>
      <c r="J38" s="8" t="s">
        <v>386</v>
      </c>
      <c r="K38" s="13" t="s">
        <v>387</v>
      </c>
      <c r="L38" s="8"/>
      <c r="M38" s="12" t="s">
        <v>384</v>
      </c>
      <c r="N38" s="13" t="s">
        <v>385</v>
      </c>
      <c r="O38" s="15">
        <v>0</v>
      </c>
      <c r="P38" s="12" t="s">
        <v>384</v>
      </c>
      <c r="Q38" s="13" t="s">
        <v>385</v>
      </c>
      <c r="R38" s="15">
        <v>0</v>
      </c>
      <c r="S38" s="8" t="s">
        <v>386</v>
      </c>
      <c r="T38" s="13" t="s">
        <v>387</v>
      </c>
      <c r="U38" s="8"/>
      <c r="V38" s="8" t="s">
        <v>386</v>
      </c>
      <c r="W38" s="13" t="s">
        <v>387</v>
      </c>
      <c r="X38" s="8"/>
      <c r="Y38" s="8" t="s">
        <v>386</v>
      </c>
      <c r="Z38" s="13" t="s">
        <v>387</v>
      </c>
      <c r="AA38" s="8"/>
      <c r="AB38" s="12" t="s">
        <v>384</v>
      </c>
      <c r="AC38" s="13" t="s">
        <v>385</v>
      </c>
      <c r="AD38" s="15">
        <v>0</v>
      </c>
      <c r="AE38" s="12" t="s">
        <v>384</v>
      </c>
      <c r="AF38" s="13" t="s">
        <v>385</v>
      </c>
      <c r="AG38" s="15">
        <v>0</v>
      </c>
      <c r="AH38" s="8" t="s">
        <v>386</v>
      </c>
      <c r="AI38" s="13" t="s">
        <v>387</v>
      </c>
      <c r="AJ38" s="8"/>
      <c r="AK38" s="8" t="s">
        <v>386</v>
      </c>
      <c r="AL38" s="13" t="s">
        <v>387</v>
      </c>
      <c r="AM38" s="8"/>
      <c r="AN38" s="8" t="s">
        <v>386</v>
      </c>
      <c r="AO38" s="13" t="s">
        <v>387</v>
      </c>
      <c r="AP38" s="8"/>
    </row>
    <row r="39" spans="1:42" ht="28.05" customHeight="1" x14ac:dyDescent="0.3">
      <c r="A39" s="5">
        <v>35</v>
      </c>
      <c r="B39" s="5" t="s">
        <v>396</v>
      </c>
      <c r="C39" s="5" t="s">
        <v>151</v>
      </c>
      <c r="D39" s="6" t="s">
        <v>537</v>
      </c>
      <c r="E39" s="6" t="s">
        <v>538</v>
      </c>
      <c r="F39" s="5" t="s">
        <v>539</v>
      </c>
      <c r="G39" s="11" t="s">
        <v>386</v>
      </c>
      <c r="H39" s="13" t="s">
        <v>387</v>
      </c>
      <c r="I39" s="11"/>
      <c r="J39" s="11" t="s">
        <v>386</v>
      </c>
      <c r="K39" s="13" t="s">
        <v>387</v>
      </c>
      <c r="L39" s="11"/>
      <c r="M39" s="11" t="s">
        <v>386</v>
      </c>
      <c r="N39" s="13" t="s">
        <v>387</v>
      </c>
      <c r="O39" s="11"/>
      <c r="P39" s="11" t="s">
        <v>386</v>
      </c>
      <c r="Q39" s="13" t="s">
        <v>387</v>
      </c>
      <c r="R39" s="11"/>
      <c r="S39" s="12" t="s">
        <v>384</v>
      </c>
      <c r="T39" s="13" t="s">
        <v>385</v>
      </c>
      <c r="U39" s="14">
        <v>0</v>
      </c>
      <c r="V39" s="12" t="s">
        <v>384</v>
      </c>
      <c r="W39" s="13" t="s">
        <v>385</v>
      </c>
      <c r="X39" s="14">
        <v>0</v>
      </c>
      <c r="Y39" s="11" t="s">
        <v>386</v>
      </c>
      <c r="Z39" s="13" t="s">
        <v>387</v>
      </c>
      <c r="AA39" s="11"/>
      <c r="AB39" s="11" t="s">
        <v>386</v>
      </c>
      <c r="AC39" s="13" t="s">
        <v>387</v>
      </c>
      <c r="AD39" s="11"/>
      <c r="AE39" s="11" t="s">
        <v>386</v>
      </c>
      <c r="AF39" s="13" t="s">
        <v>387</v>
      </c>
      <c r="AG39" s="11"/>
      <c r="AH39" s="12" t="s">
        <v>384</v>
      </c>
      <c r="AI39" s="13" t="s">
        <v>385</v>
      </c>
      <c r="AJ39" s="14">
        <v>0</v>
      </c>
      <c r="AK39" s="12" t="s">
        <v>384</v>
      </c>
      <c r="AL39" s="13" t="s">
        <v>385</v>
      </c>
      <c r="AM39" s="14">
        <v>0</v>
      </c>
      <c r="AN39" s="11" t="s">
        <v>386</v>
      </c>
      <c r="AO39" s="13" t="s">
        <v>387</v>
      </c>
      <c r="AP39" s="11"/>
    </row>
    <row r="40" spans="1:42" ht="28.05" customHeight="1" x14ac:dyDescent="0.3">
      <c r="A40" s="9">
        <v>36</v>
      </c>
      <c r="B40" s="9" t="s">
        <v>580</v>
      </c>
      <c r="C40" s="9" t="s">
        <v>142</v>
      </c>
      <c r="D40" s="10" t="s">
        <v>542</v>
      </c>
      <c r="E40" s="10" t="s">
        <v>543</v>
      </c>
      <c r="F40" s="9" t="s">
        <v>448</v>
      </c>
      <c r="G40" s="8" t="s">
        <v>386</v>
      </c>
      <c r="H40" s="13" t="s">
        <v>387</v>
      </c>
      <c r="I40" s="8"/>
      <c r="J40" s="8" t="s">
        <v>386</v>
      </c>
      <c r="K40" s="13" t="s">
        <v>387</v>
      </c>
      <c r="L40" s="8"/>
      <c r="M40" s="8" t="s">
        <v>386</v>
      </c>
      <c r="N40" s="13" t="s">
        <v>387</v>
      </c>
      <c r="O40" s="8"/>
      <c r="P40" s="8" t="s">
        <v>386</v>
      </c>
      <c r="Q40" s="13" t="s">
        <v>387</v>
      </c>
      <c r="R40" s="8"/>
      <c r="S40" s="8" t="s">
        <v>386</v>
      </c>
      <c r="T40" s="13" t="s">
        <v>387</v>
      </c>
      <c r="U40" s="8"/>
      <c r="V40" s="8" t="s">
        <v>386</v>
      </c>
      <c r="W40" s="13" t="s">
        <v>387</v>
      </c>
      <c r="X40" s="8"/>
      <c r="Y40" s="8" t="s">
        <v>386</v>
      </c>
      <c r="Z40" s="13" t="s">
        <v>387</v>
      </c>
      <c r="AA40" s="8"/>
      <c r="AB40" s="12" t="s">
        <v>384</v>
      </c>
      <c r="AC40" s="13" t="s">
        <v>385</v>
      </c>
      <c r="AD40" s="15">
        <v>0</v>
      </c>
      <c r="AE40" s="8" t="s">
        <v>386</v>
      </c>
      <c r="AF40" s="13" t="s">
        <v>387</v>
      </c>
      <c r="AG40" s="8"/>
      <c r="AH40" s="8" t="s">
        <v>386</v>
      </c>
      <c r="AI40" s="13" t="s">
        <v>387</v>
      </c>
      <c r="AJ40" s="8"/>
      <c r="AK40" s="8" t="s">
        <v>386</v>
      </c>
      <c r="AL40" s="13" t="s">
        <v>387</v>
      </c>
      <c r="AM40" s="8"/>
      <c r="AN40" s="8" t="s">
        <v>386</v>
      </c>
      <c r="AO40" s="13" t="s">
        <v>387</v>
      </c>
      <c r="AP40" s="8"/>
    </row>
    <row r="41" spans="1:42" ht="28.05" customHeight="1" x14ac:dyDescent="0.3">
      <c r="A41" s="5">
        <v>37</v>
      </c>
      <c r="B41" s="5" t="s">
        <v>580</v>
      </c>
      <c r="C41" s="5" t="s">
        <v>147</v>
      </c>
      <c r="D41" s="6" t="s">
        <v>544</v>
      </c>
      <c r="E41" s="6" t="s">
        <v>545</v>
      </c>
      <c r="F41" s="5" t="s">
        <v>448</v>
      </c>
      <c r="G41" s="11" t="s">
        <v>386</v>
      </c>
      <c r="H41" s="13" t="s">
        <v>387</v>
      </c>
      <c r="I41" s="11"/>
      <c r="J41" s="11" t="s">
        <v>386</v>
      </c>
      <c r="K41" s="13" t="s">
        <v>387</v>
      </c>
      <c r="L41" s="11"/>
      <c r="M41" s="11" t="s">
        <v>386</v>
      </c>
      <c r="N41" s="13" t="s">
        <v>387</v>
      </c>
      <c r="O41" s="11"/>
      <c r="P41" s="11" t="s">
        <v>386</v>
      </c>
      <c r="Q41" s="13" t="s">
        <v>387</v>
      </c>
      <c r="R41" s="11"/>
      <c r="S41" s="11" t="s">
        <v>386</v>
      </c>
      <c r="T41" s="13" t="s">
        <v>387</v>
      </c>
      <c r="U41" s="11"/>
      <c r="V41" s="11" t="s">
        <v>386</v>
      </c>
      <c r="W41" s="13" t="s">
        <v>387</v>
      </c>
      <c r="X41" s="11"/>
      <c r="Y41" s="11" t="s">
        <v>386</v>
      </c>
      <c r="Z41" s="13" t="s">
        <v>387</v>
      </c>
      <c r="AA41" s="11"/>
      <c r="AB41" s="12" t="s">
        <v>384</v>
      </c>
      <c r="AC41" s="13" t="s">
        <v>385</v>
      </c>
      <c r="AD41" s="14">
        <v>0</v>
      </c>
      <c r="AE41" s="12" t="s">
        <v>384</v>
      </c>
      <c r="AF41" s="13" t="s">
        <v>385</v>
      </c>
      <c r="AG41" s="14">
        <v>0</v>
      </c>
      <c r="AH41" s="12" t="s">
        <v>384</v>
      </c>
      <c r="AI41" s="13" t="s">
        <v>385</v>
      </c>
      <c r="AJ41" s="14">
        <v>0</v>
      </c>
      <c r="AK41" s="11" t="s">
        <v>386</v>
      </c>
      <c r="AL41" s="13" t="s">
        <v>387</v>
      </c>
      <c r="AM41" s="11"/>
      <c r="AN41" s="11" t="s">
        <v>386</v>
      </c>
      <c r="AO41" s="13" t="s">
        <v>387</v>
      </c>
      <c r="AP41" s="11"/>
    </row>
    <row r="42" spans="1:42" ht="28.05" customHeight="1" x14ac:dyDescent="0.3">
      <c r="A42" s="9">
        <v>38</v>
      </c>
      <c r="B42" s="9" t="s">
        <v>580</v>
      </c>
      <c r="C42" s="9" t="s">
        <v>151</v>
      </c>
      <c r="D42" s="10" t="s">
        <v>546</v>
      </c>
      <c r="E42" s="10" t="s">
        <v>536</v>
      </c>
      <c r="F42" s="9" t="s">
        <v>547</v>
      </c>
      <c r="G42" s="8" t="s">
        <v>386</v>
      </c>
      <c r="H42" s="13" t="s">
        <v>387</v>
      </c>
      <c r="I42" s="8"/>
      <c r="J42" s="8" t="s">
        <v>386</v>
      </c>
      <c r="K42" s="13" t="s">
        <v>387</v>
      </c>
      <c r="L42" s="8"/>
      <c r="M42" s="8" t="s">
        <v>386</v>
      </c>
      <c r="N42" s="13" t="s">
        <v>387</v>
      </c>
      <c r="O42" s="8"/>
      <c r="P42" s="8" t="s">
        <v>386</v>
      </c>
      <c r="Q42" s="13" t="s">
        <v>387</v>
      </c>
      <c r="R42" s="8"/>
      <c r="S42" s="8" t="s">
        <v>386</v>
      </c>
      <c r="T42" s="13" t="s">
        <v>387</v>
      </c>
      <c r="U42" s="8"/>
      <c r="V42" s="8" t="s">
        <v>386</v>
      </c>
      <c r="W42" s="13" t="s">
        <v>387</v>
      </c>
      <c r="X42" s="8"/>
      <c r="Y42" s="8" t="s">
        <v>386</v>
      </c>
      <c r="Z42" s="13" t="s">
        <v>387</v>
      </c>
      <c r="AA42" s="8"/>
      <c r="AB42" s="8" t="s">
        <v>386</v>
      </c>
      <c r="AC42" s="13" t="s">
        <v>387</v>
      </c>
      <c r="AD42" s="8"/>
      <c r="AE42" s="8" t="s">
        <v>386</v>
      </c>
      <c r="AF42" s="13" t="s">
        <v>387</v>
      </c>
      <c r="AG42" s="8"/>
      <c r="AH42" s="12" t="s">
        <v>384</v>
      </c>
      <c r="AI42" s="13" t="s">
        <v>385</v>
      </c>
      <c r="AJ42" s="15">
        <v>0</v>
      </c>
      <c r="AK42" s="12" t="s">
        <v>384</v>
      </c>
      <c r="AL42" s="13" t="s">
        <v>385</v>
      </c>
      <c r="AM42" s="15">
        <v>0</v>
      </c>
      <c r="AN42" s="8" t="s">
        <v>386</v>
      </c>
      <c r="AO42" s="13" t="s">
        <v>387</v>
      </c>
      <c r="AP42" s="8"/>
    </row>
    <row r="43" spans="1:42" ht="28.05" customHeight="1" x14ac:dyDescent="0.3">
      <c r="A43" s="5">
        <v>39</v>
      </c>
      <c r="B43" s="5" t="s">
        <v>580</v>
      </c>
      <c r="C43" s="5" t="s">
        <v>154</v>
      </c>
      <c r="D43" s="6" t="s">
        <v>548</v>
      </c>
      <c r="E43" s="6" t="s">
        <v>205</v>
      </c>
      <c r="F43" s="5" t="s">
        <v>547</v>
      </c>
      <c r="G43" s="11" t="s">
        <v>386</v>
      </c>
      <c r="H43" s="13" t="s">
        <v>387</v>
      </c>
      <c r="I43" s="11"/>
      <c r="J43" s="11" t="s">
        <v>386</v>
      </c>
      <c r="K43" s="13" t="s">
        <v>387</v>
      </c>
      <c r="L43" s="11"/>
      <c r="M43" s="11" t="s">
        <v>386</v>
      </c>
      <c r="N43" s="13" t="s">
        <v>387</v>
      </c>
      <c r="O43" s="11"/>
      <c r="P43" s="11" t="s">
        <v>386</v>
      </c>
      <c r="Q43" s="13" t="s">
        <v>387</v>
      </c>
      <c r="R43" s="11"/>
      <c r="S43" s="11" t="s">
        <v>386</v>
      </c>
      <c r="T43" s="13" t="s">
        <v>387</v>
      </c>
      <c r="U43" s="11"/>
      <c r="V43" s="11" t="s">
        <v>386</v>
      </c>
      <c r="W43" s="13" t="s">
        <v>387</v>
      </c>
      <c r="X43" s="11"/>
      <c r="Y43" s="11" t="s">
        <v>386</v>
      </c>
      <c r="Z43" s="13" t="s">
        <v>387</v>
      </c>
      <c r="AA43" s="11"/>
      <c r="AB43" s="11" t="s">
        <v>386</v>
      </c>
      <c r="AC43" s="13" t="s">
        <v>387</v>
      </c>
      <c r="AD43" s="11"/>
      <c r="AE43" s="11" t="s">
        <v>386</v>
      </c>
      <c r="AF43" s="13" t="s">
        <v>387</v>
      </c>
      <c r="AG43" s="11"/>
      <c r="AH43" s="11" t="s">
        <v>386</v>
      </c>
      <c r="AI43" s="13" t="s">
        <v>387</v>
      </c>
      <c r="AJ43" s="11"/>
      <c r="AK43" s="12" t="s">
        <v>384</v>
      </c>
      <c r="AL43" s="13" t="s">
        <v>385</v>
      </c>
      <c r="AM43" s="14">
        <v>0</v>
      </c>
      <c r="AN43" s="12" t="s">
        <v>384</v>
      </c>
      <c r="AO43" s="13" t="s">
        <v>385</v>
      </c>
      <c r="AP43" s="14">
        <v>0</v>
      </c>
    </row>
    <row r="44" spans="1:42" ht="28.05" customHeight="1" x14ac:dyDescent="0.3">
      <c r="A44" s="9">
        <v>40</v>
      </c>
      <c r="B44" s="9" t="s">
        <v>581</v>
      </c>
      <c r="C44" s="9" t="s">
        <v>142</v>
      </c>
      <c r="D44" s="10" t="s">
        <v>551</v>
      </c>
      <c r="E44" s="10" t="s">
        <v>552</v>
      </c>
      <c r="F44" s="9" t="s">
        <v>461</v>
      </c>
      <c r="G44" s="8" t="s">
        <v>386</v>
      </c>
      <c r="H44" s="13" t="s">
        <v>387</v>
      </c>
      <c r="I44" s="8"/>
      <c r="J44" s="8" t="s">
        <v>386</v>
      </c>
      <c r="K44" s="13" t="s">
        <v>387</v>
      </c>
      <c r="L44" s="8"/>
      <c r="M44" s="8" t="s">
        <v>386</v>
      </c>
      <c r="N44" s="13" t="s">
        <v>387</v>
      </c>
      <c r="O44" s="8"/>
      <c r="P44" s="8" t="s">
        <v>386</v>
      </c>
      <c r="Q44" s="13" t="s">
        <v>387</v>
      </c>
      <c r="R44" s="8"/>
      <c r="S44" s="8" t="s">
        <v>386</v>
      </c>
      <c r="T44" s="13" t="s">
        <v>387</v>
      </c>
      <c r="U44" s="8"/>
      <c r="V44" s="8" t="s">
        <v>386</v>
      </c>
      <c r="W44" s="13" t="s">
        <v>387</v>
      </c>
      <c r="X44" s="8"/>
      <c r="Y44" s="8" t="s">
        <v>386</v>
      </c>
      <c r="Z44" s="13" t="s">
        <v>387</v>
      </c>
      <c r="AA44" s="8"/>
      <c r="AB44" s="12" t="s">
        <v>384</v>
      </c>
      <c r="AC44" s="13" t="s">
        <v>385</v>
      </c>
      <c r="AD44" s="15">
        <v>0</v>
      </c>
      <c r="AE44" s="8" t="s">
        <v>386</v>
      </c>
      <c r="AF44" s="13" t="s">
        <v>387</v>
      </c>
      <c r="AG44" s="8"/>
      <c r="AH44" s="8" t="s">
        <v>386</v>
      </c>
      <c r="AI44" s="13" t="s">
        <v>387</v>
      </c>
      <c r="AJ44" s="8"/>
      <c r="AK44" s="8" t="s">
        <v>386</v>
      </c>
      <c r="AL44" s="13" t="s">
        <v>387</v>
      </c>
      <c r="AM44" s="8"/>
      <c r="AN44" s="8" t="s">
        <v>386</v>
      </c>
      <c r="AO44" s="13" t="s">
        <v>387</v>
      </c>
      <c r="AP44" s="8"/>
    </row>
    <row r="45" spans="1:42" ht="28.05" customHeight="1" x14ac:dyDescent="0.3">
      <c r="A45" s="5">
        <v>41</v>
      </c>
      <c r="B45" s="5" t="s">
        <v>581</v>
      </c>
      <c r="C45" s="5" t="s">
        <v>147</v>
      </c>
      <c r="D45" s="6" t="s">
        <v>553</v>
      </c>
      <c r="E45" s="6" t="s">
        <v>554</v>
      </c>
      <c r="F45" s="5" t="s">
        <v>461</v>
      </c>
      <c r="G45" s="11" t="s">
        <v>386</v>
      </c>
      <c r="H45" s="13" t="s">
        <v>387</v>
      </c>
      <c r="I45" s="11"/>
      <c r="J45" s="11" t="s">
        <v>386</v>
      </c>
      <c r="K45" s="13" t="s">
        <v>387</v>
      </c>
      <c r="L45" s="11"/>
      <c r="M45" s="11" t="s">
        <v>386</v>
      </c>
      <c r="N45" s="13" t="s">
        <v>387</v>
      </c>
      <c r="O45" s="11"/>
      <c r="P45" s="11" t="s">
        <v>386</v>
      </c>
      <c r="Q45" s="13" t="s">
        <v>387</v>
      </c>
      <c r="R45" s="11"/>
      <c r="S45" s="11" t="s">
        <v>386</v>
      </c>
      <c r="T45" s="13" t="s">
        <v>387</v>
      </c>
      <c r="U45" s="11"/>
      <c r="V45" s="11" t="s">
        <v>386</v>
      </c>
      <c r="W45" s="13" t="s">
        <v>387</v>
      </c>
      <c r="X45" s="11"/>
      <c r="Y45" s="11" t="s">
        <v>386</v>
      </c>
      <c r="Z45" s="13" t="s">
        <v>387</v>
      </c>
      <c r="AA45" s="11"/>
      <c r="AB45" s="12" t="s">
        <v>384</v>
      </c>
      <c r="AC45" s="13" t="s">
        <v>385</v>
      </c>
      <c r="AD45" s="14">
        <v>0</v>
      </c>
      <c r="AE45" s="12" t="s">
        <v>384</v>
      </c>
      <c r="AF45" s="13" t="s">
        <v>385</v>
      </c>
      <c r="AG45" s="14">
        <v>0</v>
      </c>
      <c r="AH45" s="12" t="s">
        <v>384</v>
      </c>
      <c r="AI45" s="13" t="s">
        <v>385</v>
      </c>
      <c r="AJ45" s="14">
        <v>0</v>
      </c>
      <c r="AK45" s="11" t="s">
        <v>386</v>
      </c>
      <c r="AL45" s="13" t="s">
        <v>387</v>
      </c>
      <c r="AM45" s="11"/>
      <c r="AN45" s="11" t="s">
        <v>386</v>
      </c>
      <c r="AO45" s="13" t="s">
        <v>387</v>
      </c>
      <c r="AP45" s="11"/>
    </row>
    <row r="46" spans="1:42" ht="28.05" customHeight="1" x14ac:dyDescent="0.3">
      <c r="A46" s="9">
        <v>42</v>
      </c>
      <c r="B46" s="9" t="s">
        <v>581</v>
      </c>
      <c r="C46" s="9" t="s">
        <v>151</v>
      </c>
      <c r="D46" s="10" t="s">
        <v>555</v>
      </c>
      <c r="E46" s="10" t="s">
        <v>556</v>
      </c>
      <c r="F46" s="9" t="s">
        <v>461</v>
      </c>
      <c r="G46" s="8" t="s">
        <v>386</v>
      </c>
      <c r="H46" s="13" t="s">
        <v>387</v>
      </c>
      <c r="I46" s="8"/>
      <c r="J46" s="8" t="s">
        <v>386</v>
      </c>
      <c r="K46" s="13" t="s">
        <v>387</v>
      </c>
      <c r="L46" s="8"/>
      <c r="M46" s="8" t="s">
        <v>386</v>
      </c>
      <c r="N46" s="13" t="s">
        <v>387</v>
      </c>
      <c r="O46" s="8"/>
      <c r="P46" s="8" t="s">
        <v>386</v>
      </c>
      <c r="Q46" s="13" t="s">
        <v>387</v>
      </c>
      <c r="R46" s="8"/>
      <c r="S46" s="8" t="s">
        <v>386</v>
      </c>
      <c r="T46" s="13" t="s">
        <v>387</v>
      </c>
      <c r="U46" s="8"/>
      <c r="V46" s="8" t="s">
        <v>386</v>
      </c>
      <c r="W46" s="13" t="s">
        <v>387</v>
      </c>
      <c r="X46" s="8"/>
      <c r="Y46" s="8" t="s">
        <v>386</v>
      </c>
      <c r="Z46" s="13" t="s">
        <v>387</v>
      </c>
      <c r="AA46" s="8"/>
      <c r="AB46" s="8" t="s">
        <v>386</v>
      </c>
      <c r="AC46" s="13" t="s">
        <v>387</v>
      </c>
      <c r="AD46" s="8"/>
      <c r="AE46" s="8" t="s">
        <v>386</v>
      </c>
      <c r="AF46" s="13" t="s">
        <v>387</v>
      </c>
      <c r="AG46" s="8"/>
      <c r="AH46" s="12" t="s">
        <v>384</v>
      </c>
      <c r="AI46" s="13" t="s">
        <v>385</v>
      </c>
      <c r="AJ46" s="15">
        <v>0</v>
      </c>
      <c r="AK46" s="12" t="s">
        <v>384</v>
      </c>
      <c r="AL46" s="13" t="s">
        <v>385</v>
      </c>
      <c r="AM46" s="15">
        <v>0</v>
      </c>
      <c r="AN46" s="8" t="s">
        <v>386</v>
      </c>
      <c r="AO46" s="13" t="s">
        <v>387</v>
      </c>
      <c r="AP46" s="8"/>
    </row>
    <row r="47" spans="1:42" ht="28.05" customHeight="1" x14ac:dyDescent="0.3">
      <c r="A47" s="5">
        <v>43</v>
      </c>
      <c r="B47" s="5" t="s">
        <v>581</v>
      </c>
      <c r="C47" s="5" t="s">
        <v>154</v>
      </c>
      <c r="D47" s="6" t="s">
        <v>557</v>
      </c>
      <c r="E47" s="6" t="s">
        <v>558</v>
      </c>
      <c r="F47" s="5" t="s">
        <v>448</v>
      </c>
      <c r="G47" s="11" t="s">
        <v>386</v>
      </c>
      <c r="H47" s="13" t="s">
        <v>387</v>
      </c>
      <c r="I47" s="11"/>
      <c r="J47" s="11" t="s">
        <v>386</v>
      </c>
      <c r="K47" s="13" t="s">
        <v>387</v>
      </c>
      <c r="L47" s="11"/>
      <c r="M47" s="11" t="s">
        <v>386</v>
      </c>
      <c r="N47" s="13" t="s">
        <v>387</v>
      </c>
      <c r="O47" s="11"/>
      <c r="P47" s="11" t="s">
        <v>386</v>
      </c>
      <c r="Q47" s="13" t="s">
        <v>387</v>
      </c>
      <c r="R47" s="11"/>
      <c r="S47" s="11" t="s">
        <v>386</v>
      </c>
      <c r="T47" s="13" t="s">
        <v>387</v>
      </c>
      <c r="U47" s="11"/>
      <c r="V47" s="11" t="s">
        <v>386</v>
      </c>
      <c r="W47" s="13" t="s">
        <v>387</v>
      </c>
      <c r="X47" s="11"/>
      <c r="Y47" s="11" t="s">
        <v>386</v>
      </c>
      <c r="Z47" s="13" t="s">
        <v>387</v>
      </c>
      <c r="AA47" s="11"/>
      <c r="AB47" s="11" t="s">
        <v>386</v>
      </c>
      <c r="AC47" s="13" t="s">
        <v>387</v>
      </c>
      <c r="AD47" s="11"/>
      <c r="AE47" s="11" t="s">
        <v>386</v>
      </c>
      <c r="AF47" s="13" t="s">
        <v>387</v>
      </c>
      <c r="AG47" s="11"/>
      <c r="AH47" s="11" t="s">
        <v>386</v>
      </c>
      <c r="AI47" s="13" t="s">
        <v>387</v>
      </c>
      <c r="AJ47" s="11"/>
      <c r="AK47" s="12" t="s">
        <v>384</v>
      </c>
      <c r="AL47" s="13" t="s">
        <v>385</v>
      </c>
      <c r="AM47" s="14">
        <v>0</v>
      </c>
      <c r="AN47" s="12" t="s">
        <v>384</v>
      </c>
      <c r="AO47" s="13" t="s">
        <v>385</v>
      </c>
      <c r="AP47" s="14">
        <v>0</v>
      </c>
    </row>
    <row r="48" spans="1:42" ht="28.05" customHeight="1" x14ac:dyDescent="0.3">
      <c r="A48" s="9">
        <v>44</v>
      </c>
      <c r="B48" s="9" t="s">
        <v>397</v>
      </c>
      <c r="C48" s="9" t="s">
        <v>142</v>
      </c>
      <c r="D48" s="10" t="s">
        <v>562</v>
      </c>
      <c r="E48" s="10" t="s">
        <v>563</v>
      </c>
      <c r="F48" s="9" t="s">
        <v>448</v>
      </c>
      <c r="G48" s="8" t="s">
        <v>386</v>
      </c>
      <c r="H48" s="13" t="s">
        <v>387</v>
      </c>
      <c r="I48" s="8"/>
      <c r="J48" s="8" t="s">
        <v>386</v>
      </c>
      <c r="K48" s="13" t="s">
        <v>387</v>
      </c>
      <c r="L48" s="8"/>
      <c r="M48" s="8" t="s">
        <v>386</v>
      </c>
      <c r="N48" s="13" t="s">
        <v>387</v>
      </c>
      <c r="O48" s="8"/>
      <c r="P48" s="12" t="s">
        <v>384</v>
      </c>
      <c r="Q48" s="13" t="s">
        <v>385</v>
      </c>
      <c r="R48" s="15">
        <v>0</v>
      </c>
      <c r="S48" s="12" t="s">
        <v>384</v>
      </c>
      <c r="T48" s="13" t="s">
        <v>385</v>
      </c>
      <c r="U48" s="15">
        <v>0</v>
      </c>
      <c r="V48" s="12" t="s">
        <v>384</v>
      </c>
      <c r="W48" s="13" t="s">
        <v>385</v>
      </c>
      <c r="X48" s="15">
        <v>0</v>
      </c>
      <c r="Y48" s="8" t="s">
        <v>386</v>
      </c>
      <c r="Z48" s="13" t="s">
        <v>387</v>
      </c>
      <c r="AA48" s="8"/>
      <c r="AB48" s="8" t="s">
        <v>386</v>
      </c>
      <c r="AC48" s="13" t="s">
        <v>387</v>
      </c>
      <c r="AD48" s="8"/>
      <c r="AE48" s="8" t="s">
        <v>386</v>
      </c>
      <c r="AF48" s="13" t="s">
        <v>387</v>
      </c>
      <c r="AG48" s="8"/>
      <c r="AH48" s="8" t="s">
        <v>386</v>
      </c>
      <c r="AI48" s="13" t="s">
        <v>387</v>
      </c>
      <c r="AJ48" s="8"/>
      <c r="AK48" s="8" t="s">
        <v>386</v>
      </c>
      <c r="AL48" s="13" t="s">
        <v>387</v>
      </c>
      <c r="AM48" s="8"/>
      <c r="AN48" s="8" t="s">
        <v>386</v>
      </c>
      <c r="AO48" s="13" t="s">
        <v>387</v>
      </c>
      <c r="AP48" s="8"/>
    </row>
    <row r="49" spans="1:42" ht="28.05" customHeight="1" x14ac:dyDescent="0.3">
      <c r="A49" s="5">
        <v>45</v>
      </c>
      <c r="B49" s="5" t="s">
        <v>397</v>
      </c>
      <c r="C49" s="5" t="s">
        <v>147</v>
      </c>
      <c r="D49" s="6" t="s">
        <v>564</v>
      </c>
      <c r="E49" s="6" t="s">
        <v>565</v>
      </c>
      <c r="F49" s="5" t="s">
        <v>448</v>
      </c>
      <c r="G49" s="11" t="s">
        <v>386</v>
      </c>
      <c r="H49" s="13" t="s">
        <v>387</v>
      </c>
      <c r="I49" s="11"/>
      <c r="J49" s="11" t="s">
        <v>386</v>
      </c>
      <c r="K49" s="13" t="s">
        <v>387</v>
      </c>
      <c r="L49" s="11"/>
      <c r="M49" s="11" t="s">
        <v>386</v>
      </c>
      <c r="N49" s="13" t="s">
        <v>387</v>
      </c>
      <c r="O49" s="11"/>
      <c r="P49" s="12" t="s">
        <v>384</v>
      </c>
      <c r="Q49" s="13" t="s">
        <v>385</v>
      </c>
      <c r="R49" s="14">
        <v>0</v>
      </c>
      <c r="S49" s="12" t="s">
        <v>384</v>
      </c>
      <c r="T49" s="13" t="s">
        <v>385</v>
      </c>
      <c r="U49" s="14">
        <v>0</v>
      </c>
      <c r="V49" s="12" t="s">
        <v>384</v>
      </c>
      <c r="W49" s="13" t="s">
        <v>385</v>
      </c>
      <c r="X49" s="14">
        <v>0</v>
      </c>
      <c r="Y49" s="11" t="s">
        <v>386</v>
      </c>
      <c r="Z49" s="13" t="s">
        <v>387</v>
      </c>
      <c r="AA49" s="11"/>
      <c r="AB49" s="11" t="s">
        <v>386</v>
      </c>
      <c r="AC49" s="13" t="s">
        <v>387</v>
      </c>
      <c r="AD49" s="11"/>
      <c r="AE49" s="11" t="s">
        <v>386</v>
      </c>
      <c r="AF49" s="13" t="s">
        <v>387</v>
      </c>
      <c r="AG49" s="11"/>
      <c r="AH49" s="11" t="s">
        <v>386</v>
      </c>
      <c r="AI49" s="13" t="s">
        <v>387</v>
      </c>
      <c r="AJ49" s="11"/>
      <c r="AK49" s="11" t="s">
        <v>386</v>
      </c>
      <c r="AL49" s="13" t="s">
        <v>387</v>
      </c>
      <c r="AM49" s="11"/>
      <c r="AN49" s="11" t="s">
        <v>386</v>
      </c>
      <c r="AO49" s="13" t="s">
        <v>387</v>
      </c>
      <c r="AP49" s="11"/>
    </row>
    <row r="50" spans="1:42" ht="28.05" customHeight="1" x14ac:dyDescent="0.3">
      <c r="A50" s="9">
        <v>46</v>
      </c>
      <c r="B50" s="9" t="s">
        <v>397</v>
      </c>
      <c r="C50" s="9" t="s">
        <v>151</v>
      </c>
      <c r="D50" s="10" t="s">
        <v>566</v>
      </c>
      <c r="E50" s="10" t="s">
        <v>567</v>
      </c>
      <c r="F50" s="9" t="s">
        <v>448</v>
      </c>
      <c r="G50" s="8" t="s">
        <v>386</v>
      </c>
      <c r="H50" s="13" t="s">
        <v>387</v>
      </c>
      <c r="I50" s="8"/>
      <c r="J50" s="8" t="s">
        <v>386</v>
      </c>
      <c r="K50" s="13" t="s">
        <v>387</v>
      </c>
      <c r="L50" s="8"/>
      <c r="M50" s="8" t="s">
        <v>386</v>
      </c>
      <c r="N50" s="13" t="s">
        <v>387</v>
      </c>
      <c r="O50" s="8"/>
      <c r="P50" s="8" t="s">
        <v>386</v>
      </c>
      <c r="Q50" s="13" t="s">
        <v>387</v>
      </c>
      <c r="R50" s="8"/>
      <c r="S50" s="8" t="s">
        <v>386</v>
      </c>
      <c r="T50" s="13" t="s">
        <v>387</v>
      </c>
      <c r="U50" s="8"/>
      <c r="V50" s="8" t="s">
        <v>386</v>
      </c>
      <c r="W50" s="13" t="s">
        <v>387</v>
      </c>
      <c r="X50" s="8"/>
      <c r="Y50" s="8" t="s">
        <v>386</v>
      </c>
      <c r="Z50" s="13" t="s">
        <v>387</v>
      </c>
      <c r="AA50" s="8"/>
      <c r="AB50" s="8" t="s">
        <v>386</v>
      </c>
      <c r="AC50" s="13" t="s">
        <v>387</v>
      </c>
      <c r="AD50" s="8"/>
      <c r="AE50" s="12" t="s">
        <v>384</v>
      </c>
      <c r="AF50" s="13" t="s">
        <v>385</v>
      </c>
      <c r="AG50" s="15">
        <v>0</v>
      </c>
      <c r="AH50" s="12" t="s">
        <v>384</v>
      </c>
      <c r="AI50" s="13" t="s">
        <v>385</v>
      </c>
      <c r="AJ50" s="15">
        <v>0</v>
      </c>
      <c r="AK50" s="8" t="s">
        <v>386</v>
      </c>
      <c r="AL50" s="13" t="s">
        <v>387</v>
      </c>
      <c r="AM50" s="8"/>
      <c r="AN50" s="8" t="s">
        <v>386</v>
      </c>
      <c r="AO50" s="13" t="s">
        <v>387</v>
      </c>
      <c r="AP50" s="8"/>
    </row>
    <row r="51" spans="1:42" ht="28.05" customHeight="1" x14ac:dyDescent="0.3">
      <c r="A51" s="5">
        <v>47</v>
      </c>
      <c r="B51" s="5" t="s">
        <v>397</v>
      </c>
      <c r="C51" s="5" t="s">
        <v>154</v>
      </c>
      <c r="D51" s="6" t="s">
        <v>282</v>
      </c>
      <c r="E51" s="6" t="s">
        <v>568</v>
      </c>
      <c r="F51" s="5" t="s">
        <v>448</v>
      </c>
      <c r="G51" s="11" t="s">
        <v>386</v>
      </c>
      <c r="H51" s="13" t="s">
        <v>387</v>
      </c>
      <c r="I51" s="11"/>
      <c r="J51" s="11" t="s">
        <v>386</v>
      </c>
      <c r="K51" s="13" t="s">
        <v>387</v>
      </c>
      <c r="L51" s="11"/>
      <c r="M51" s="11" t="s">
        <v>386</v>
      </c>
      <c r="N51" s="13" t="s">
        <v>387</v>
      </c>
      <c r="O51" s="11"/>
      <c r="P51" s="11" t="s">
        <v>386</v>
      </c>
      <c r="Q51" s="13" t="s">
        <v>387</v>
      </c>
      <c r="R51" s="11"/>
      <c r="S51" s="11" t="s">
        <v>386</v>
      </c>
      <c r="T51" s="13" t="s">
        <v>387</v>
      </c>
      <c r="U51" s="11"/>
      <c r="V51" s="11" t="s">
        <v>386</v>
      </c>
      <c r="W51" s="13" t="s">
        <v>387</v>
      </c>
      <c r="X51" s="11"/>
      <c r="Y51" s="11" t="s">
        <v>386</v>
      </c>
      <c r="Z51" s="13" t="s">
        <v>387</v>
      </c>
      <c r="AA51" s="11"/>
      <c r="AB51" s="11" t="s">
        <v>386</v>
      </c>
      <c r="AC51" s="13" t="s">
        <v>387</v>
      </c>
      <c r="AD51" s="11"/>
      <c r="AE51" s="11" t="s">
        <v>386</v>
      </c>
      <c r="AF51" s="13" t="s">
        <v>387</v>
      </c>
      <c r="AG51" s="11"/>
      <c r="AH51" s="12" t="s">
        <v>384</v>
      </c>
      <c r="AI51" s="13" t="s">
        <v>385</v>
      </c>
      <c r="AJ51" s="14">
        <v>0</v>
      </c>
      <c r="AK51" s="12" t="s">
        <v>384</v>
      </c>
      <c r="AL51" s="13" t="s">
        <v>385</v>
      </c>
      <c r="AM51" s="14">
        <v>0</v>
      </c>
      <c r="AN51" s="12" t="s">
        <v>384</v>
      </c>
      <c r="AO51" s="13" t="s">
        <v>385</v>
      </c>
      <c r="AP51" s="14">
        <v>0</v>
      </c>
    </row>
    <row r="52" spans="1:42" ht="28.05" customHeight="1" x14ac:dyDescent="0.3">
      <c r="A52" s="9">
        <v>48</v>
      </c>
      <c r="B52" s="9" t="s">
        <v>582</v>
      </c>
      <c r="C52" s="9" t="s">
        <v>142</v>
      </c>
      <c r="D52" s="10" t="s">
        <v>571</v>
      </c>
      <c r="E52" s="10" t="s">
        <v>572</v>
      </c>
      <c r="F52" s="9" t="s">
        <v>461</v>
      </c>
      <c r="G52" s="8" t="s">
        <v>386</v>
      </c>
      <c r="H52" s="13" t="s">
        <v>387</v>
      </c>
      <c r="I52" s="8"/>
      <c r="J52" s="8" t="s">
        <v>386</v>
      </c>
      <c r="K52" s="13" t="s">
        <v>387</v>
      </c>
      <c r="L52" s="8"/>
      <c r="M52" s="8" t="s">
        <v>386</v>
      </c>
      <c r="N52" s="13" t="s">
        <v>387</v>
      </c>
      <c r="O52" s="8"/>
      <c r="P52" s="8" t="s">
        <v>386</v>
      </c>
      <c r="Q52" s="13" t="s">
        <v>387</v>
      </c>
      <c r="R52" s="8"/>
      <c r="S52" s="8" t="s">
        <v>386</v>
      </c>
      <c r="T52" s="13" t="s">
        <v>387</v>
      </c>
      <c r="U52" s="8"/>
      <c r="V52" s="8" t="s">
        <v>386</v>
      </c>
      <c r="W52" s="13" t="s">
        <v>387</v>
      </c>
      <c r="X52" s="8"/>
      <c r="Y52" s="12" t="s">
        <v>384</v>
      </c>
      <c r="Z52" s="13" t="s">
        <v>385</v>
      </c>
      <c r="AA52" s="15">
        <v>0</v>
      </c>
      <c r="AB52" s="12" t="s">
        <v>384</v>
      </c>
      <c r="AC52" s="13" t="s">
        <v>385</v>
      </c>
      <c r="AD52" s="15">
        <v>0</v>
      </c>
      <c r="AE52" s="8" t="s">
        <v>386</v>
      </c>
      <c r="AF52" s="13" t="s">
        <v>387</v>
      </c>
      <c r="AG52" s="8"/>
      <c r="AH52" s="8" t="s">
        <v>386</v>
      </c>
      <c r="AI52" s="13" t="s">
        <v>387</v>
      </c>
      <c r="AJ52" s="8"/>
      <c r="AK52" s="8" t="s">
        <v>386</v>
      </c>
      <c r="AL52" s="13" t="s">
        <v>387</v>
      </c>
      <c r="AM52" s="8"/>
      <c r="AN52" s="8" t="s">
        <v>386</v>
      </c>
      <c r="AO52" s="13" t="s">
        <v>387</v>
      </c>
      <c r="AP52" s="8"/>
    </row>
    <row r="53" spans="1:42" ht="28.05" customHeight="1" x14ac:dyDescent="0.3">
      <c r="A53" s="5">
        <v>49</v>
      </c>
      <c r="B53" s="5" t="s">
        <v>582</v>
      </c>
      <c r="C53" s="5" t="s">
        <v>147</v>
      </c>
      <c r="D53" s="6" t="s">
        <v>343</v>
      </c>
      <c r="E53" s="6" t="s">
        <v>573</v>
      </c>
      <c r="F53" s="5" t="s">
        <v>574</v>
      </c>
      <c r="G53" s="11" t="s">
        <v>386</v>
      </c>
      <c r="H53" s="13" t="s">
        <v>387</v>
      </c>
      <c r="I53" s="11"/>
      <c r="J53" s="11" t="s">
        <v>386</v>
      </c>
      <c r="K53" s="13" t="s">
        <v>387</v>
      </c>
      <c r="L53" s="11"/>
      <c r="M53" s="11" t="s">
        <v>386</v>
      </c>
      <c r="N53" s="13" t="s">
        <v>387</v>
      </c>
      <c r="O53" s="11"/>
      <c r="P53" s="11" t="s">
        <v>386</v>
      </c>
      <c r="Q53" s="13" t="s">
        <v>387</v>
      </c>
      <c r="R53" s="11"/>
      <c r="S53" s="11" t="s">
        <v>386</v>
      </c>
      <c r="T53" s="13" t="s">
        <v>387</v>
      </c>
      <c r="U53" s="11"/>
      <c r="V53" s="11" t="s">
        <v>386</v>
      </c>
      <c r="W53" s="13" t="s">
        <v>387</v>
      </c>
      <c r="X53" s="11"/>
      <c r="Y53" s="11" t="s">
        <v>386</v>
      </c>
      <c r="Z53" s="13" t="s">
        <v>387</v>
      </c>
      <c r="AA53" s="11"/>
      <c r="AB53" s="12" t="s">
        <v>384</v>
      </c>
      <c r="AC53" s="13" t="s">
        <v>385</v>
      </c>
      <c r="AD53" s="14">
        <v>0</v>
      </c>
      <c r="AE53" s="12" t="s">
        <v>384</v>
      </c>
      <c r="AF53" s="13" t="s">
        <v>385</v>
      </c>
      <c r="AG53" s="14">
        <v>0</v>
      </c>
      <c r="AH53" s="11" t="s">
        <v>386</v>
      </c>
      <c r="AI53" s="13" t="s">
        <v>387</v>
      </c>
      <c r="AJ53" s="11"/>
      <c r="AK53" s="11" t="s">
        <v>386</v>
      </c>
      <c r="AL53" s="13" t="s">
        <v>387</v>
      </c>
      <c r="AM53" s="11"/>
      <c r="AN53" s="11" t="s">
        <v>386</v>
      </c>
      <c r="AO53" s="13" t="s">
        <v>387</v>
      </c>
      <c r="AP53" s="11"/>
    </row>
    <row r="54" spans="1:42" ht="28.05" customHeight="1" x14ac:dyDescent="0.3">
      <c r="A54" s="9">
        <v>50</v>
      </c>
      <c r="B54" s="9" t="s">
        <v>582</v>
      </c>
      <c r="C54" s="9" t="s">
        <v>151</v>
      </c>
      <c r="D54" s="10" t="s">
        <v>575</v>
      </c>
      <c r="E54" s="10" t="s">
        <v>576</v>
      </c>
      <c r="F54" s="9" t="s">
        <v>574</v>
      </c>
      <c r="G54" s="8" t="s">
        <v>386</v>
      </c>
      <c r="H54" s="13" t="s">
        <v>387</v>
      </c>
      <c r="I54" s="8"/>
      <c r="J54" s="8" t="s">
        <v>386</v>
      </c>
      <c r="K54" s="13" t="s">
        <v>387</v>
      </c>
      <c r="L54" s="8"/>
      <c r="M54" s="8" t="s">
        <v>386</v>
      </c>
      <c r="N54" s="13" t="s">
        <v>387</v>
      </c>
      <c r="O54" s="8"/>
      <c r="P54" s="8" t="s">
        <v>386</v>
      </c>
      <c r="Q54" s="13" t="s">
        <v>387</v>
      </c>
      <c r="R54" s="8"/>
      <c r="S54" s="8" t="s">
        <v>386</v>
      </c>
      <c r="T54" s="13" t="s">
        <v>387</v>
      </c>
      <c r="U54" s="8"/>
      <c r="V54" s="8" t="s">
        <v>386</v>
      </c>
      <c r="W54" s="13" t="s">
        <v>387</v>
      </c>
      <c r="X54" s="8"/>
      <c r="Y54" s="8" t="s">
        <v>386</v>
      </c>
      <c r="Z54" s="13" t="s">
        <v>387</v>
      </c>
      <c r="AA54" s="8"/>
      <c r="AB54" s="8" t="s">
        <v>386</v>
      </c>
      <c r="AC54" s="13" t="s">
        <v>387</v>
      </c>
      <c r="AD54" s="8"/>
      <c r="AE54" s="12" t="s">
        <v>384</v>
      </c>
      <c r="AF54" s="13" t="s">
        <v>385</v>
      </c>
      <c r="AG54" s="15">
        <v>0</v>
      </c>
      <c r="AH54" s="12" t="s">
        <v>384</v>
      </c>
      <c r="AI54" s="13" t="s">
        <v>385</v>
      </c>
      <c r="AJ54" s="15">
        <v>0</v>
      </c>
      <c r="AK54" s="8" t="s">
        <v>386</v>
      </c>
      <c r="AL54" s="13" t="s">
        <v>387</v>
      </c>
      <c r="AM54" s="8"/>
      <c r="AN54" s="8" t="s">
        <v>386</v>
      </c>
      <c r="AO54" s="13" t="s">
        <v>387</v>
      </c>
      <c r="AP54" s="8"/>
    </row>
    <row r="55" spans="1:42" ht="28.05" customHeight="1" x14ac:dyDescent="0.3">
      <c r="A55" s="5">
        <v>51</v>
      </c>
      <c r="B55" s="5" t="s">
        <v>582</v>
      </c>
      <c r="C55" s="5" t="s">
        <v>154</v>
      </c>
      <c r="D55" s="6" t="s">
        <v>577</v>
      </c>
      <c r="E55" s="6" t="s">
        <v>578</v>
      </c>
      <c r="F55" s="5" t="s">
        <v>574</v>
      </c>
      <c r="G55" s="11" t="s">
        <v>386</v>
      </c>
      <c r="H55" s="13" t="s">
        <v>387</v>
      </c>
      <c r="I55" s="11"/>
      <c r="J55" s="11" t="s">
        <v>386</v>
      </c>
      <c r="K55" s="13" t="s">
        <v>387</v>
      </c>
      <c r="L55" s="11"/>
      <c r="M55" s="11" t="s">
        <v>386</v>
      </c>
      <c r="N55" s="13" t="s">
        <v>387</v>
      </c>
      <c r="O55" s="11"/>
      <c r="P55" s="11" t="s">
        <v>386</v>
      </c>
      <c r="Q55" s="13" t="s">
        <v>387</v>
      </c>
      <c r="R55" s="11"/>
      <c r="S55" s="11" t="s">
        <v>386</v>
      </c>
      <c r="T55" s="13" t="s">
        <v>387</v>
      </c>
      <c r="U55" s="11"/>
      <c r="V55" s="11" t="s">
        <v>386</v>
      </c>
      <c r="W55" s="13" t="s">
        <v>387</v>
      </c>
      <c r="X55" s="11"/>
      <c r="Y55" s="11" t="s">
        <v>386</v>
      </c>
      <c r="Z55" s="13" t="s">
        <v>387</v>
      </c>
      <c r="AA55" s="11"/>
      <c r="AB55" s="11" t="s">
        <v>386</v>
      </c>
      <c r="AC55" s="13" t="s">
        <v>387</v>
      </c>
      <c r="AD55" s="11"/>
      <c r="AE55" s="11" t="s">
        <v>386</v>
      </c>
      <c r="AF55" s="13" t="s">
        <v>387</v>
      </c>
      <c r="AG55" s="11"/>
      <c r="AH55" s="12" t="s">
        <v>384</v>
      </c>
      <c r="AI55" s="13" t="s">
        <v>385</v>
      </c>
      <c r="AJ55" s="14">
        <v>0</v>
      </c>
      <c r="AK55" s="12" t="s">
        <v>384</v>
      </c>
      <c r="AL55" s="13" t="s">
        <v>385</v>
      </c>
      <c r="AM55" s="14">
        <v>0</v>
      </c>
      <c r="AN55" s="12" t="s">
        <v>384</v>
      </c>
      <c r="AO55" s="13" t="s">
        <v>385</v>
      </c>
      <c r="AP55" s="14">
        <v>0</v>
      </c>
    </row>
    <row r="58" spans="1:42" ht="15.6" x14ac:dyDescent="0.3">
      <c r="A58" s="37" t="s">
        <v>405</v>
      </c>
      <c r="B58" s="37"/>
      <c r="C58" s="37"/>
      <c r="D58" s="37"/>
      <c r="E58" s="37"/>
      <c r="F58" s="37"/>
      <c r="G58" s="33" t="s">
        <v>18</v>
      </c>
      <c r="H58" s="33"/>
      <c r="I58" s="33"/>
      <c r="J58" s="33" t="s">
        <v>19</v>
      </c>
      <c r="K58" s="33"/>
      <c r="L58" s="33"/>
      <c r="M58" s="33" t="s">
        <v>20</v>
      </c>
      <c r="N58" s="33"/>
      <c r="O58" s="33"/>
      <c r="P58" s="33" t="s">
        <v>21</v>
      </c>
      <c r="Q58" s="33"/>
      <c r="R58" s="33"/>
      <c r="S58" s="33" t="s">
        <v>22</v>
      </c>
      <c r="T58" s="33"/>
      <c r="U58" s="33"/>
      <c r="V58" s="33" t="s">
        <v>23</v>
      </c>
      <c r="W58" s="33"/>
      <c r="X58" s="33"/>
      <c r="Y58" s="33" t="s">
        <v>24</v>
      </c>
      <c r="Z58" s="33"/>
      <c r="AA58" s="33"/>
      <c r="AB58" s="33" t="s">
        <v>25</v>
      </c>
      <c r="AC58" s="33"/>
      <c r="AD58" s="33"/>
      <c r="AE58" s="33" t="s">
        <v>26</v>
      </c>
      <c r="AF58" s="33"/>
      <c r="AG58" s="33"/>
      <c r="AH58" s="33" t="s">
        <v>27</v>
      </c>
      <c r="AI58" s="33"/>
      <c r="AJ58" s="33"/>
      <c r="AK58" s="33" t="s">
        <v>28</v>
      </c>
      <c r="AL58" s="33"/>
      <c r="AM58" s="33"/>
      <c r="AN58" s="33" t="s">
        <v>29</v>
      </c>
      <c r="AO58" s="33"/>
      <c r="AP58" s="33"/>
    </row>
    <row r="59" spans="1:42" ht="30" customHeight="1" x14ac:dyDescent="0.3">
      <c r="A59" s="38" t="s">
        <v>406</v>
      </c>
      <c r="B59" s="38"/>
      <c r="C59" s="38"/>
      <c r="D59" s="38"/>
      <c r="E59" s="38"/>
      <c r="F59" s="38"/>
      <c r="G59" s="39">
        <f>AVERAGEIF(G5:G55,"✓",I5:I55)</f>
        <v>0</v>
      </c>
      <c r="H59" s="39"/>
      <c r="I59" s="39"/>
      <c r="J59" s="39">
        <f>AVERAGEIF(J5:J55,"✓",L5:L55)</f>
        <v>0</v>
      </c>
      <c r="K59" s="39"/>
      <c r="L59" s="39"/>
      <c r="M59" s="39">
        <f>AVERAGEIF(M5:M55,"✓",O5:O55)</f>
        <v>0</v>
      </c>
      <c r="N59" s="39"/>
      <c r="O59" s="39"/>
      <c r="P59" s="39">
        <f>AVERAGEIF(P5:P55,"✓",R5:R55)</f>
        <v>0</v>
      </c>
      <c r="Q59" s="39"/>
      <c r="R59" s="39"/>
      <c r="S59" s="39">
        <f>AVERAGEIF(S5:S55,"✓",U5:U55)</f>
        <v>0</v>
      </c>
      <c r="T59" s="39"/>
      <c r="U59" s="39"/>
      <c r="V59" s="39">
        <f>AVERAGEIF(V5:V55,"✓",X5:X55)</f>
        <v>0</v>
      </c>
      <c r="W59" s="39"/>
      <c r="X59" s="39"/>
      <c r="Y59" s="39">
        <f>AVERAGEIF(Y5:Y55,"✓",AA5:AA55)</f>
        <v>0</v>
      </c>
      <c r="Z59" s="39"/>
      <c r="AA59" s="39"/>
      <c r="AB59" s="39">
        <f>AVERAGEIF(AB5:AB55,"✓",AD5:AD55)</f>
        <v>0</v>
      </c>
      <c r="AC59" s="39"/>
      <c r="AD59" s="39"/>
      <c r="AE59" s="39">
        <f>AVERAGEIF(AE5:AE55,"✓",AG5:AG55)</f>
        <v>0</v>
      </c>
      <c r="AF59" s="39"/>
      <c r="AG59" s="39"/>
      <c r="AH59" s="39">
        <f>AVERAGEIF(AH5:AH55,"✓",AJ5:AJ55)</f>
        <v>0</v>
      </c>
      <c r="AI59" s="39"/>
      <c r="AJ59" s="39"/>
      <c r="AK59" s="39">
        <f>AVERAGEIF(AK5:AK55,"✓",AM5:AM55)</f>
        <v>0</v>
      </c>
      <c r="AL59" s="39"/>
      <c r="AM59" s="39"/>
      <c r="AN59" s="39">
        <f>AVERAGEIF(AN5:AN55,"✓",AP5:AP55)</f>
        <v>0</v>
      </c>
      <c r="AO59" s="39"/>
      <c r="AP59" s="39"/>
    </row>
  </sheetData>
  <mergeCells count="39">
    <mergeCell ref="AH58:AJ58"/>
    <mergeCell ref="AK58:AM58"/>
    <mergeCell ref="AN58:AP58"/>
    <mergeCell ref="A59:F59"/>
    <mergeCell ref="G59:I59"/>
    <mergeCell ref="J59:L59"/>
    <mergeCell ref="M59:O59"/>
    <mergeCell ref="P59:R59"/>
    <mergeCell ref="S59:U59"/>
    <mergeCell ref="V59:X59"/>
    <mergeCell ref="Y59:AA59"/>
    <mergeCell ref="AB59:AD59"/>
    <mergeCell ref="AE59:AG59"/>
    <mergeCell ref="AH59:AJ59"/>
    <mergeCell ref="AK59:AM59"/>
    <mergeCell ref="AN59:AP59"/>
    <mergeCell ref="S58:U58"/>
    <mergeCell ref="V58:X58"/>
    <mergeCell ref="Y58:AA58"/>
    <mergeCell ref="AB58:AD58"/>
    <mergeCell ref="AE58:AG58"/>
    <mergeCell ref="A58:F58"/>
    <mergeCell ref="G58:I58"/>
    <mergeCell ref="J58:L58"/>
    <mergeCell ref="M58:O58"/>
    <mergeCell ref="P58:R58"/>
    <mergeCell ref="A1:AP1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</mergeCells>
  <conditionalFormatting sqref="H5:H55">
    <cfRule type="containsText" dxfId="91" priority="1" operator="containsText" text="Completado">
      <formula>NOT(ISERROR(SEARCH("Completado",H5)))</formula>
    </cfRule>
    <cfRule type="containsText" dxfId="90" priority="2" operator="containsText" text="Retrasado">
      <formula>NOT(ISERROR(SEARCH("Retrasado",H5)))</formula>
    </cfRule>
    <cfRule type="containsText" dxfId="89" priority="3" operator="containsText" text="En Proceso">
      <formula>NOT(ISERROR(SEARCH("En Proceso",H5)))</formula>
    </cfRule>
  </conditionalFormatting>
  <conditionalFormatting sqref="K5:K55">
    <cfRule type="containsText" dxfId="88" priority="4" operator="containsText" text="Completado">
      <formula>NOT(ISERROR(SEARCH("Completado",K5)))</formula>
    </cfRule>
    <cfRule type="containsText" dxfId="87" priority="5" operator="containsText" text="Retrasado">
      <formula>NOT(ISERROR(SEARCH("Retrasado",K5)))</formula>
    </cfRule>
    <cfRule type="containsText" dxfId="86" priority="6" operator="containsText" text="En Proceso">
      <formula>NOT(ISERROR(SEARCH("En Proceso",K5)))</formula>
    </cfRule>
  </conditionalFormatting>
  <conditionalFormatting sqref="N5:N55">
    <cfRule type="containsText" dxfId="85" priority="7" operator="containsText" text="Completado">
      <formula>NOT(ISERROR(SEARCH("Completado",N5)))</formula>
    </cfRule>
    <cfRule type="containsText" dxfId="84" priority="8" operator="containsText" text="Retrasado">
      <formula>NOT(ISERROR(SEARCH("Retrasado",N5)))</formula>
    </cfRule>
    <cfRule type="containsText" dxfId="83" priority="9" operator="containsText" text="En Proceso">
      <formula>NOT(ISERROR(SEARCH("En Proceso",N5)))</formula>
    </cfRule>
  </conditionalFormatting>
  <conditionalFormatting sqref="Q5:Q55">
    <cfRule type="containsText" dxfId="82" priority="10" operator="containsText" text="Completado">
      <formula>NOT(ISERROR(SEARCH("Completado",Q5)))</formula>
    </cfRule>
    <cfRule type="containsText" dxfId="81" priority="11" operator="containsText" text="Retrasado">
      <formula>NOT(ISERROR(SEARCH("Retrasado",Q5)))</formula>
    </cfRule>
    <cfRule type="containsText" dxfId="80" priority="12" operator="containsText" text="En Proceso">
      <formula>NOT(ISERROR(SEARCH("En Proceso",Q5)))</formula>
    </cfRule>
  </conditionalFormatting>
  <conditionalFormatting sqref="T5:T55">
    <cfRule type="containsText" dxfId="79" priority="13" operator="containsText" text="Completado">
      <formula>NOT(ISERROR(SEARCH("Completado",T5)))</formula>
    </cfRule>
    <cfRule type="containsText" dxfId="78" priority="14" operator="containsText" text="Retrasado">
      <formula>NOT(ISERROR(SEARCH("Retrasado",T5)))</formula>
    </cfRule>
    <cfRule type="containsText" dxfId="77" priority="15" operator="containsText" text="En Proceso">
      <formula>NOT(ISERROR(SEARCH("En Proceso",T5)))</formula>
    </cfRule>
  </conditionalFormatting>
  <conditionalFormatting sqref="W5:W55">
    <cfRule type="containsText" dxfId="76" priority="16" operator="containsText" text="Completado">
      <formula>NOT(ISERROR(SEARCH("Completado",W5)))</formula>
    </cfRule>
    <cfRule type="containsText" dxfId="75" priority="17" operator="containsText" text="Retrasado">
      <formula>NOT(ISERROR(SEARCH("Retrasado",W5)))</formula>
    </cfRule>
    <cfRule type="containsText" dxfId="74" priority="18" operator="containsText" text="En Proceso">
      <formula>NOT(ISERROR(SEARCH("En Proceso",W5)))</formula>
    </cfRule>
  </conditionalFormatting>
  <conditionalFormatting sqref="Z5:Z55">
    <cfRule type="containsText" dxfId="73" priority="19" operator="containsText" text="Completado">
      <formula>NOT(ISERROR(SEARCH("Completado",Z5)))</formula>
    </cfRule>
    <cfRule type="containsText" dxfId="72" priority="20" operator="containsText" text="Retrasado">
      <formula>NOT(ISERROR(SEARCH("Retrasado",Z5)))</formula>
    </cfRule>
    <cfRule type="containsText" dxfId="71" priority="21" operator="containsText" text="En Proceso">
      <formula>NOT(ISERROR(SEARCH("En Proceso",Z5)))</formula>
    </cfRule>
  </conditionalFormatting>
  <conditionalFormatting sqref="AC5:AC55">
    <cfRule type="containsText" dxfId="70" priority="22" operator="containsText" text="Completado">
      <formula>NOT(ISERROR(SEARCH("Completado",AC5)))</formula>
    </cfRule>
    <cfRule type="containsText" dxfId="69" priority="23" operator="containsText" text="Retrasado">
      <formula>NOT(ISERROR(SEARCH("Retrasado",AC5)))</formula>
    </cfRule>
    <cfRule type="containsText" dxfId="68" priority="24" operator="containsText" text="En Proceso">
      <formula>NOT(ISERROR(SEARCH("En Proceso",AC5)))</formula>
    </cfRule>
  </conditionalFormatting>
  <conditionalFormatting sqref="AF5:AF55">
    <cfRule type="containsText" dxfId="67" priority="25" operator="containsText" text="Completado">
      <formula>NOT(ISERROR(SEARCH("Completado",AF5)))</formula>
    </cfRule>
    <cfRule type="containsText" dxfId="66" priority="26" operator="containsText" text="Retrasado">
      <formula>NOT(ISERROR(SEARCH("Retrasado",AF5)))</formula>
    </cfRule>
    <cfRule type="containsText" dxfId="65" priority="27" operator="containsText" text="En Proceso">
      <formula>NOT(ISERROR(SEARCH("En Proceso",AF5)))</formula>
    </cfRule>
  </conditionalFormatting>
  <conditionalFormatting sqref="AI5:AI55">
    <cfRule type="containsText" dxfId="64" priority="28" operator="containsText" text="Completado">
      <formula>NOT(ISERROR(SEARCH("Completado",AI5)))</formula>
    </cfRule>
    <cfRule type="containsText" dxfId="63" priority="29" operator="containsText" text="Retrasado">
      <formula>NOT(ISERROR(SEARCH("Retrasado",AI5)))</formula>
    </cfRule>
    <cfRule type="containsText" dxfId="62" priority="30" operator="containsText" text="En Proceso">
      <formula>NOT(ISERROR(SEARCH("En Proceso",AI5)))</formula>
    </cfRule>
  </conditionalFormatting>
  <conditionalFormatting sqref="AL5:AL55">
    <cfRule type="containsText" dxfId="61" priority="31" operator="containsText" text="Completado">
      <formula>NOT(ISERROR(SEARCH("Completado",AL5)))</formula>
    </cfRule>
    <cfRule type="containsText" dxfId="60" priority="32" operator="containsText" text="Retrasado">
      <formula>NOT(ISERROR(SEARCH("Retrasado",AL5)))</formula>
    </cfRule>
    <cfRule type="containsText" dxfId="59" priority="33" operator="containsText" text="En Proceso">
      <formula>NOT(ISERROR(SEARCH("En Proceso",AL5)))</formula>
    </cfRule>
  </conditionalFormatting>
  <conditionalFormatting sqref="AO5:AO55">
    <cfRule type="containsText" dxfId="58" priority="34" operator="containsText" text="Completado">
      <formula>NOT(ISERROR(SEARCH("Completado",AO5)))</formula>
    </cfRule>
    <cfRule type="containsText" dxfId="57" priority="35" operator="containsText" text="Retrasado">
      <formula>NOT(ISERROR(SEARCH("Retrasado",AO5)))</formula>
    </cfRule>
    <cfRule type="containsText" dxfId="56" priority="36" operator="containsText" text="En Proceso">
      <formula>NOT(ISERROR(SEARCH("En Proceso",AO5)))</formula>
    </cfRule>
  </conditionalFormatting>
  <dataValidations count="1">
    <dataValidation type="list" allowBlank="1" showInputMessage="1" showErrorMessage="1" error="Seleccione un estado válido" sqref="H5:H55 AO5:AO55 AL5:AL55 AI5:AI55 AF5:AF55 AC5:AC55 Z5:Z55 W5:W55 T5:T55 Q5:Q55 N5:N55 K5:K55" xr:uid="{00000000-0002-0000-0600-000000000000}">
      <formula1>"No Iniciado,En Proceso,Completado,Retrasado,N/A"</formula1>
    </dataValidation>
  </dataValidations>
  <pageMargins left="0.7" right="0.7" top="0.75" bottom="0.75" header="0.3" footer="0.3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AO62"/>
  <sheetViews>
    <sheetView showGridLines="0" zoomScale="75" zoomScaleNormal="75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baseColWidth="10" defaultColWidth="8.88671875" defaultRowHeight="14.4" x14ac:dyDescent="0.3"/>
  <cols>
    <col min="1" max="1" width="4.6640625" customWidth="1"/>
    <col min="2" max="2" width="10.6640625" customWidth="1"/>
    <col min="3" max="3" width="8.6640625" customWidth="1"/>
    <col min="4" max="4" width="40.6640625" customWidth="1"/>
    <col min="5" max="5" width="15.6640625" customWidth="1"/>
    <col min="6" max="6" width="8.6640625" customWidth="1"/>
    <col min="7" max="8" width="10.6640625" customWidth="1"/>
    <col min="9" max="9" width="8.6640625" customWidth="1"/>
    <col min="10" max="11" width="10.6640625" customWidth="1"/>
    <col min="12" max="12" width="8.6640625" customWidth="1"/>
    <col min="13" max="14" width="10.6640625" customWidth="1"/>
    <col min="15" max="15" width="8.6640625" customWidth="1"/>
    <col min="16" max="17" width="10.6640625" customWidth="1"/>
    <col min="18" max="18" width="8.6640625" customWidth="1"/>
    <col min="19" max="20" width="10.6640625" customWidth="1"/>
    <col min="21" max="21" width="8.6640625" customWidth="1"/>
    <col min="22" max="23" width="10.6640625" customWidth="1"/>
    <col min="24" max="24" width="8.6640625" customWidth="1"/>
    <col min="25" max="26" width="10.6640625" customWidth="1"/>
    <col min="27" max="27" width="8.6640625" customWidth="1"/>
    <col min="28" max="29" width="10.6640625" customWidth="1"/>
    <col min="30" max="30" width="8.6640625" customWidth="1"/>
    <col min="31" max="32" width="10.6640625" customWidth="1"/>
    <col min="33" max="33" width="8.6640625" customWidth="1"/>
    <col min="34" max="35" width="10.6640625" customWidth="1"/>
    <col min="36" max="36" width="8.6640625" customWidth="1"/>
    <col min="37" max="38" width="10.6640625" customWidth="1"/>
    <col min="39" max="39" width="8.6640625" customWidth="1"/>
    <col min="40" max="41" width="10.6640625" customWidth="1"/>
  </cols>
  <sheetData>
    <row r="1" spans="1:41" ht="34.950000000000003" customHeight="1" x14ac:dyDescent="0.3">
      <c r="A1" s="40" t="s">
        <v>583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</row>
    <row r="2" spans="1:41" ht="22.05" customHeight="1" x14ac:dyDescent="0.3">
      <c r="A2" s="41" t="s">
        <v>408</v>
      </c>
      <c r="B2" s="41"/>
      <c r="C2" s="41"/>
      <c r="D2" s="41"/>
      <c r="E2" s="41"/>
      <c r="F2" s="33" t="s">
        <v>364</v>
      </c>
      <c r="G2" s="33"/>
      <c r="H2" s="33"/>
      <c r="I2" s="33" t="s">
        <v>365</v>
      </c>
      <c r="J2" s="33"/>
      <c r="K2" s="33"/>
      <c r="L2" s="33" t="s">
        <v>366</v>
      </c>
      <c r="M2" s="33"/>
      <c r="N2" s="33"/>
      <c r="O2" s="33" t="s">
        <v>367</v>
      </c>
      <c r="P2" s="33"/>
      <c r="Q2" s="33"/>
      <c r="R2" s="33" t="s">
        <v>368</v>
      </c>
      <c r="S2" s="33"/>
      <c r="T2" s="33"/>
      <c r="U2" s="33" t="s">
        <v>369</v>
      </c>
      <c r="V2" s="33"/>
      <c r="W2" s="33"/>
      <c r="X2" s="33" t="s">
        <v>370</v>
      </c>
      <c r="Y2" s="33"/>
      <c r="Z2" s="33"/>
      <c r="AA2" s="33" t="s">
        <v>371</v>
      </c>
      <c r="AB2" s="33"/>
      <c r="AC2" s="33"/>
      <c r="AD2" s="33" t="s">
        <v>372</v>
      </c>
      <c r="AE2" s="33"/>
      <c r="AF2" s="33"/>
      <c r="AG2" s="33" t="s">
        <v>373</v>
      </c>
      <c r="AH2" s="33"/>
      <c r="AI2" s="33"/>
      <c r="AJ2" s="33" t="s">
        <v>374</v>
      </c>
      <c r="AK2" s="33"/>
      <c r="AL2" s="33"/>
      <c r="AM2" s="33" t="s">
        <v>375</v>
      </c>
      <c r="AN2" s="33"/>
      <c r="AO2" s="33"/>
    </row>
    <row r="3" spans="1:41" ht="19.95" customHeight="1" x14ac:dyDescent="0.3">
      <c r="A3" s="1" t="s">
        <v>30</v>
      </c>
      <c r="B3" s="1" t="s">
        <v>376</v>
      </c>
      <c r="C3" s="1" t="s">
        <v>31</v>
      </c>
      <c r="D3" s="1" t="s">
        <v>32</v>
      </c>
      <c r="E3" s="1" t="s">
        <v>34</v>
      </c>
      <c r="F3" s="1" t="s">
        <v>409</v>
      </c>
      <c r="G3" s="16" t="s">
        <v>410</v>
      </c>
      <c r="H3" s="17" t="s">
        <v>411</v>
      </c>
      <c r="I3" s="1" t="s">
        <v>409</v>
      </c>
      <c r="J3" s="16" t="s">
        <v>410</v>
      </c>
      <c r="K3" s="17" t="s">
        <v>411</v>
      </c>
      <c r="L3" s="1" t="s">
        <v>409</v>
      </c>
      <c r="M3" s="16" t="s">
        <v>410</v>
      </c>
      <c r="N3" s="17" t="s">
        <v>411</v>
      </c>
      <c r="O3" s="1" t="s">
        <v>409</v>
      </c>
      <c r="P3" s="16" t="s">
        <v>410</v>
      </c>
      <c r="Q3" s="17" t="s">
        <v>411</v>
      </c>
      <c r="R3" s="1" t="s">
        <v>409</v>
      </c>
      <c r="S3" s="16" t="s">
        <v>410</v>
      </c>
      <c r="T3" s="17" t="s">
        <v>411</v>
      </c>
      <c r="U3" s="1" t="s">
        <v>409</v>
      </c>
      <c r="V3" s="16" t="s">
        <v>410</v>
      </c>
      <c r="W3" s="17" t="s">
        <v>411</v>
      </c>
      <c r="X3" s="1" t="s">
        <v>409</v>
      </c>
      <c r="Y3" s="16" t="s">
        <v>410</v>
      </c>
      <c r="Z3" s="17" t="s">
        <v>411</v>
      </c>
      <c r="AA3" s="1" t="s">
        <v>409</v>
      </c>
      <c r="AB3" s="16" t="s">
        <v>410</v>
      </c>
      <c r="AC3" s="17" t="s">
        <v>411</v>
      </c>
      <c r="AD3" s="1" t="s">
        <v>409</v>
      </c>
      <c r="AE3" s="16" t="s">
        <v>410</v>
      </c>
      <c r="AF3" s="17" t="s">
        <v>411</v>
      </c>
      <c r="AG3" s="1" t="s">
        <v>409</v>
      </c>
      <c r="AH3" s="16" t="s">
        <v>410</v>
      </c>
      <c r="AI3" s="17" t="s">
        <v>411</v>
      </c>
      <c r="AJ3" s="1" t="s">
        <v>409</v>
      </c>
      <c r="AK3" s="16" t="s">
        <v>410</v>
      </c>
      <c r="AL3" s="17" t="s">
        <v>411</v>
      </c>
      <c r="AM3" s="1" t="s">
        <v>409</v>
      </c>
      <c r="AN3" s="16" t="s">
        <v>410</v>
      </c>
      <c r="AO3" s="17" t="s">
        <v>411</v>
      </c>
    </row>
    <row r="4" spans="1:41" x14ac:dyDescent="0.3">
      <c r="A4" s="1"/>
      <c r="B4" s="1"/>
      <c r="C4" s="1"/>
      <c r="D4" s="1"/>
      <c r="E4" s="1"/>
      <c r="F4" s="18" t="s">
        <v>380</v>
      </c>
      <c r="G4" s="18" t="s">
        <v>412</v>
      </c>
      <c r="H4" s="18" t="s">
        <v>412</v>
      </c>
      <c r="I4" s="18" t="s">
        <v>380</v>
      </c>
      <c r="J4" s="18" t="s">
        <v>412</v>
      </c>
      <c r="K4" s="18" t="s">
        <v>412</v>
      </c>
      <c r="L4" s="18" t="s">
        <v>380</v>
      </c>
      <c r="M4" s="18" t="s">
        <v>412</v>
      </c>
      <c r="N4" s="18" t="s">
        <v>412</v>
      </c>
      <c r="O4" s="18" t="s">
        <v>380</v>
      </c>
      <c r="P4" s="18" t="s">
        <v>412</v>
      </c>
      <c r="Q4" s="18" t="s">
        <v>412</v>
      </c>
      <c r="R4" s="18" t="s">
        <v>380</v>
      </c>
      <c r="S4" s="18" t="s">
        <v>412</v>
      </c>
      <c r="T4" s="18" t="s">
        <v>412</v>
      </c>
      <c r="U4" s="18" t="s">
        <v>380</v>
      </c>
      <c r="V4" s="18" t="s">
        <v>412</v>
      </c>
      <c r="W4" s="18" t="s">
        <v>412</v>
      </c>
      <c r="X4" s="18" t="s">
        <v>380</v>
      </c>
      <c r="Y4" s="18" t="s">
        <v>412</v>
      </c>
      <c r="Z4" s="18" t="s">
        <v>412</v>
      </c>
      <c r="AA4" s="18" t="s">
        <v>380</v>
      </c>
      <c r="AB4" s="18" t="s">
        <v>412</v>
      </c>
      <c r="AC4" s="18" t="s">
        <v>412</v>
      </c>
      <c r="AD4" s="18" t="s">
        <v>380</v>
      </c>
      <c r="AE4" s="18" t="s">
        <v>412</v>
      </c>
      <c r="AF4" s="18" t="s">
        <v>412</v>
      </c>
      <c r="AG4" s="18" t="s">
        <v>380</v>
      </c>
      <c r="AH4" s="18" t="s">
        <v>412</v>
      </c>
      <c r="AI4" s="18" t="s">
        <v>412</v>
      </c>
      <c r="AJ4" s="18" t="s">
        <v>380</v>
      </c>
      <c r="AK4" s="18" t="s">
        <v>412</v>
      </c>
      <c r="AL4" s="18" t="s">
        <v>412</v>
      </c>
      <c r="AM4" s="18" t="s">
        <v>380</v>
      </c>
      <c r="AN4" s="18" t="s">
        <v>412</v>
      </c>
      <c r="AO4" s="18" t="s">
        <v>412</v>
      </c>
    </row>
    <row r="5" spans="1:41" ht="19.95" customHeight="1" x14ac:dyDescent="0.3">
      <c r="A5" s="42" t="s">
        <v>413</v>
      </c>
      <c r="B5" s="42"/>
      <c r="C5" s="42"/>
      <c r="D5" s="42"/>
      <c r="E5" s="42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</row>
    <row r="6" spans="1:41" ht="25.05" customHeight="1" x14ac:dyDescent="0.3">
      <c r="A6" s="5">
        <v>1</v>
      </c>
      <c r="B6" s="5" t="s">
        <v>383</v>
      </c>
      <c r="C6" s="5" t="s">
        <v>142</v>
      </c>
      <c r="D6" s="6" t="s">
        <v>446</v>
      </c>
      <c r="E6" s="5" t="s">
        <v>448</v>
      </c>
      <c r="F6" s="11" t="s">
        <v>386</v>
      </c>
      <c r="G6" s="11"/>
      <c r="H6" s="11"/>
      <c r="I6" s="11" t="s">
        <v>386</v>
      </c>
      <c r="J6" s="11"/>
      <c r="K6" s="11"/>
      <c r="L6" s="12" t="s">
        <v>384</v>
      </c>
      <c r="M6" s="13"/>
      <c r="N6" s="13"/>
      <c r="O6" s="12" t="s">
        <v>384</v>
      </c>
      <c r="P6" s="13"/>
      <c r="Q6" s="13"/>
      <c r="R6" s="11" t="s">
        <v>386</v>
      </c>
      <c r="S6" s="11"/>
      <c r="T6" s="11"/>
      <c r="U6" s="11" t="s">
        <v>386</v>
      </c>
      <c r="V6" s="11"/>
      <c r="W6" s="11"/>
      <c r="X6" s="12" t="s">
        <v>384</v>
      </c>
      <c r="Y6" s="13"/>
      <c r="Z6" s="13"/>
      <c r="AA6" s="12" t="s">
        <v>384</v>
      </c>
      <c r="AB6" s="13"/>
      <c r="AC6" s="13"/>
      <c r="AD6" s="11" t="s">
        <v>386</v>
      </c>
      <c r="AE6" s="11"/>
      <c r="AF6" s="11"/>
      <c r="AG6" s="11" t="s">
        <v>386</v>
      </c>
      <c r="AH6" s="11"/>
      <c r="AI6" s="11"/>
      <c r="AJ6" s="12" t="s">
        <v>384</v>
      </c>
      <c r="AK6" s="13"/>
      <c r="AL6" s="13"/>
      <c r="AM6" s="12" t="s">
        <v>384</v>
      </c>
      <c r="AN6" s="13"/>
      <c r="AO6" s="13"/>
    </row>
    <row r="7" spans="1:41" ht="25.05" customHeight="1" x14ac:dyDescent="0.3">
      <c r="A7" s="9">
        <v>2</v>
      </c>
      <c r="B7" s="9" t="s">
        <v>383</v>
      </c>
      <c r="C7" s="9" t="s">
        <v>147</v>
      </c>
      <c r="D7" s="10" t="s">
        <v>449</v>
      </c>
      <c r="E7" s="9" t="s">
        <v>448</v>
      </c>
      <c r="F7" s="8" t="s">
        <v>386</v>
      </c>
      <c r="G7" s="8"/>
      <c r="H7" s="8"/>
      <c r="I7" s="8" t="s">
        <v>386</v>
      </c>
      <c r="J7" s="8"/>
      <c r="K7" s="8"/>
      <c r="L7" s="12" t="s">
        <v>384</v>
      </c>
      <c r="M7" s="13"/>
      <c r="N7" s="13"/>
      <c r="O7" s="12" t="s">
        <v>384</v>
      </c>
      <c r="P7" s="13"/>
      <c r="Q7" s="13"/>
      <c r="R7" s="8" t="s">
        <v>386</v>
      </c>
      <c r="S7" s="8"/>
      <c r="T7" s="8"/>
      <c r="U7" s="8" t="s">
        <v>386</v>
      </c>
      <c r="V7" s="8"/>
      <c r="W7" s="8"/>
      <c r="X7" s="12" t="s">
        <v>384</v>
      </c>
      <c r="Y7" s="13"/>
      <c r="Z7" s="13"/>
      <c r="AA7" s="12" t="s">
        <v>384</v>
      </c>
      <c r="AB7" s="13"/>
      <c r="AC7" s="13"/>
      <c r="AD7" s="8" t="s">
        <v>386</v>
      </c>
      <c r="AE7" s="8"/>
      <c r="AF7" s="8"/>
      <c r="AG7" s="8" t="s">
        <v>386</v>
      </c>
      <c r="AH7" s="8"/>
      <c r="AI7" s="8"/>
      <c r="AJ7" s="12" t="s">
        <v>384</v>
      </c>
      <c r="AK7" s="13"/>
      <c r="AL7" s="13"/>
      <c r="AM7" s="12" t="s">
        <v>384</v>
      </c>
      <c r="AN7" s="13"/>
      <c r="AO7" s="13"/>
    </row>
    <row r="8" spans="1:41" ht="25.05" customHeight="1" x14ac:dyDescent="0.3">
      <c r="A8" s="5">
        <v>3</v>
      </c>
      <c r="B8" s="5" t="s">
        <v>383</v>
      </c>
      <c r="C8" s="5" t="s">
        <v>151</v>
      </c>
      <c r="D8" s="6" t="s">
        <v>451</v>
      </c>
      <c r="E8" s="5" t="s">
        <v>448</v>
      </c>
      <c r="F8" s="11" t="s">
        <v>386</v>
      </c>
      <c r="G8" s="11"/>
      <c r="H8" s="11"/>
      <c r="I8" s="11" t="s">
        <v>386</v>
      </c>
      <c r="J8" s="11"/>
      <c r="K8" s="11"/>
      <c r="L8" s="12" t="s">
        <v>384</v>
      </c>
      <c r="M8" s="13"/>
      <c r="N8" s="13"/>
      <c r="O8" s="12" t="s">
        <v>384</v>
      </c>
      <c r="P8" s="13"/>
      <c r="Q8" s="13"/>
      <c r="R8" s="11" t="s">
        <v>386</v>
      </c>
      <c r="S8" s="11"/>
      <c r="T8" s="11"/>
      <c r="U8" s="11" t="s">
        <v>386</v>
      </c>
      <c r="V8" s="11"/>
      <c r="W8" s="11"/>
      <c r="X8" s="12" t="s">
        <v>384</v>
      </c>
      <c r="Y8" s="13"/>
      <c r="Z8" s="13"/>
      <c r="AA8" s="12" t="s">
        <v>384</v>
      </c>
      <c r="AB8" s="13"/>
      <c r="AC8" s="13"/>
      <c r="AD8" s="11" t="s">
        <v>386</v>
      </c>
      <c r="AE8" s="11"/>
      <c r="AF8" s="11"/>
      <c r="AG8" s="11" t="s">
        <v>386</v>
      </c>
      <c r="AH8" s="11"/>
      <c r="AI8" s="11"/>
      <c r="AJ8" s="12" t="s">
        <v>384</v>
      </c>
      <c r="AK8" s="13"/>
      <c r="AL8" s="13"/>
      <c r="AM8" s="12" t="s">
        <v>384</v>
      </c>
      <c r="AN8" s="13"/>
      <c r="AO8" s="13"/>
    </row>
    <row r="9" spans="1:41" ht="25.05" customHeight="1" x14ac:dyDescent="0.3">
      <c r="A9" s="9">
        <v>4</v>
      </c>
      <c r="B9" s="9" t="s">
        <v>383</v>
      </c>
      <c r="C9" s="9" t="s">
        <v>154</v>
      </c>
      <c r="D9" s="10" t="s">
        <v>453</v>
      </c>
      <c r="E9" s="9" t="s">
        <v>448</v>
      </c>
      <c r="F9" s="8" t="s">
        <v>386</v>
      </c>
      <c r="G9" s="8"/>
      <c r="H9" s="8"/>
      <c r="I9" s="8" t="s">
        <v>386</v>
      </c>
      <c r="J9" s="8"/>
      <c r="K9" s="8"/>
      <c r="L9" s="12" t="s">
        <v>384</v>
      </c>
      <c r="M9" s="13"/>
      <c r="N9" s="13"/>
      <c r="O9" s="12" t="s">
        <v>384</v>
      </c>
      <c r="P9" s="13"/>
      <c r="Q9" s="13"/>
      <c r="R9" s="8" t="s">
        <v>386</v>
      </c>
      <c r="S9" s="8"/>
      <c r="T9" s="8"/>
      <c r="U9" s="8" t="s">
        <v>386</v>
      </c>
      <c r="V9" s="8"/>
      <c r="W9" s="8"/>
      <c r="X9" s="12" t="s">
        <v>384</v>
      </c>
      <c r="Y9" s="13"/>
      <c r="Z9" s="13"/>
      <c r="AA9" s="12" t="s">
        <v>384</v>
      </c>
      <c r="AB9" s="13"/>
      <c r="AC9" s="13"/>
      <c r="AD9" s="8" t="s">
        <v>386</v>
      </c>
      <c r="AE9" s="8"/>
      <c r="AF9" s="8"/>
      <c r="AG9" s="8" t="s">
        <v>386</v>
      </c>
      <c r="AH9" s="8"/>
      <c r="AI9" s="8"/>
      <c r="AJ9" s="12" t="s">
        <v>384</v>
      </c>
      <c r="AK9" s="13"/>
      <c r="AL9" s="13"/>
      <c r="AM9" s="12" t="s">
        <v>384</v>
      </c>
      <c r="AN9" s="13"/>
      <c r="AO9" s="13"/>
    </row>
    <row r="10" spans="1:41" ht="25.05" customHeight="1" x14ac:dyDescent="0.3">
      <c r="A10" s="5">
        <v>5</v>
      </c>
      <c r="B10" s="5" t="s">
        <v>383</v>
      </c>
      <c r="C10" s="5" t="s">
        <v>167</v>
      </c>
      <c r="D10" s="6" t="s">
        <v>455</v>
      </c>
      <c r="E10" s="5" t="s">
        <v>448</v>
      </c>
      <c r="F10" s="11" t="s">
        <v>386</v>
      </c>
      <c r="G10" s="11"/>
      <c r="H10" s="11"/>
      <c r="I10" s="11" t="s">
        <v>386</v>
      </c>
      <c r="J10" s="11"/>
      <c r="K10" s="11"/>
      <c r="L10" s="11" t="s">
        <v>386</v>
      </c>
      <c r="M10" s="11"/>
      <c r="N10" s="11"/>
      <c r="O10" s="12" t="s">
        <v>384</v>
      </c>
      <c r="P10" s="13"/>
      <c r="Q10" s="13"/>
      <c r="R10" s="11" t="s">
        <v>386</v>
      </c>
      <c r="S10" s="11"/>
      <c r="T10" s="11"/>
      <c r="U10" s="11" t="s">
        <v>386</v>
      </c>
      <c r="V10" s="11"/>
      <c r="W10" s="11"/>
      <c r="X10" s="11" t="s">
        <v>386</v>
      </c>
      <c r="Y10" s="11"/>
      <c r="Z10" s="11"/>
      <c r="AA10" s="12" t="s">
        <v>384</v>
      </c>
      <c r="AB10" s="13"/>
      <c r="AC10" s="13"/>
      <c r="AD10" s="11" t="s">
        <v>386</v>
      </c>
      <c r="AE10" s="11"/>
      <c r="AF10" s="11"/>
      <c r="AG10" s="11" t="s">
        <v>386</v>
      </c>
      <c r="AH10" s="11"/>
      <c r="AI10" s="11"/>
      <c r="AJ10" s="11" t="s">
        <v>386</v>
      </c>
      <c r="AK10" s="11"/>
      <c r="AL10" s="11"/>
      <c r="AM10" s="12" t="s">
        <v>384</v>
      </c>
      <c r="AN10" s="13"/>
      <c r="AO10" s="13"/>
    </row>
    <row r="11" spans="1:41" ht="25.05" customHeight="1" x14ac:dyDescent="0.3">
      <c r="A11" s="9">
        <v>6</v>
      </c>
      <c r="B11" s="9" t="s">
        <v>388</v>
      </c>
      <c r="C11" s="9" t="s">
        <v>142</v>
      </c>
      <c r="D11" s="10" t="s">
        <v>459</v>
      </c>
      <c r="E11" s="9" t="s">
        <v>461</v>
      </c>
      <c r="F11" s="8" t="s">
        <v>386</v>
      </c>
      <c r="G11" s="8"/>
      <c r="H11" s="8"/>
      <c r="I11" s="8" t="s">
        <v>386</v>
      </c>
      <c r="J11" s="8"/>
      <c r="K11" s="8"/>
      <c r="L11" s="12" t="s">
        <v>384</v>
      </c>
      <c r="M11" s="13"/>
      <c r="N11" s="13"/>
      <c r="O11" s="12" t="s">
        <v>384</v>
      </c>
      <c r="P11" s="13"/>
      <c r="Q11" s="13"/>
      <c r="R11" s="8" t="s">
        <v>386</v>
      </c>
      <c r="S11" s="8"/>
      <c r="T11" s="8"/>
      <c r="U11" s="8" t="s">
        <v>386</v>
      </c>
      <c r="V11" s="8"/>
      <c r="W11" s="8"/>
      <c r="X11" s="8" t="s">
        <v>386</v>
      </c>
      <c r="Y11" s="8"/>
      <c r="Z11" s="8"/>
      <c r="AA11" s="8" t="s">
        <v>386</v>
      </c>
      <c r="AB11" s="8"/>
      <c r="AC11" s="8"/>
      <c r="AD11" s="8" t="s">
        <v>386</v>
      </c>
      <c r="AE11" s="8"/>
      <c r="AF11" s="8"/>
      <c r="AG11" s="8" t="s">
        <v>386</v>
      </c>
      <c r="AH11" s="8"/>
      <c r="AI11" s="8"/>
      <c r="AJ11" s="8" t="s">
        <v>386</v>
      </c>
      <c r="AK11" s="8"/>
      <c r="AL11" s="8"/>
      <c r="AM11" s="8" t="s">
        <v>386</v>
      </c>
      <c r="AN11" s="8"/>
      <c r="AO11" s="8"/>
    </row>
    <row r="12" spans="1:41" ht="25.05" customHeight="1" x14ac:dyDescent="0.3">
      <c r="A12" s="5">
        <v>7</v>
      </c>
      <c r="B12" s="5" t="s">
        <v>388</v>
      </c>
      <c r="C12" s="5" t="s">
        <v>147</v>
      </c>
      <c r="D12" s="6" t="s">
        <v>462</v>
      </c>
      <c r="E12" s="5" t="s">
        <v>448</v>
      </c>
      <c r="F12" s="11" t="s">
        <v>386</v>
      </c>
      <c r="G12" s="11"/>
      <c r="H12" s="11"/>
      <c r="I12" s="11" t="s">
        <v>386</v>
      </c>
      <c r="J12" s="11"/>
      <c r="K12" s="11"/>
      <c r="L12" s="12" t="s">
        <v>384</v>
      </c>
      <c r="M12" s="13"/>
      <c r="N12" s="13"/>
      <c r="O12" s="12" t="s">
        <v>384</v>
      </c>
      <c r="P12" s="13"/>
      <c r="Q12" s="13"/>
      <c r="R12" s="11" t="s">
        <v>386</v>
      </c>
      <c r="S12" s="11"/>
      <c r="T12" s="11"/>
      <c r="U12" s="11" t="s">
        <v>386</v>
      </c>
      <c r="V12" s="11"/>
      <c r="W12" s="11"/>
      <c r="X12" s="11" t="s">
        <v>386</v>
      </c>
      <c r="Y12" s="11"/>
      <c r="Z12" s="11"/>
      <c r="AA12" s="11" t="s">
        <v>386</v>
      </c>
      <c r="AB12" s="11"/>
      <c r="AC12" s="11"/>
      <c r="AD12" s="11" t="s">
        <v>386</v>
      </c>
      <c r="AE12" s="11"/>
      <c r="AF12" s="11"/>
      <c r="AG12" s="11" t="s">
        <v>386</v>
      </c>
      <c r="AH12" s="11"/>
      <c r="AI12" s="11"/>
      <c r="AJ12" s="11" t="s">
        <v>386</v>
      </c>
      <c r="AK12" s="11"/>
      <c r="AL12" s="11"/>
      <c r="AM12" s="11" t="s">
        <v>386</v>
      </c>
      <c r="AN12" s="11"/>
      <c r="AO12" s="11"/>
    </row>
    <row r="13" spans="1:41" ht="25.05" customHeight="1" x14ac:dyDescent="0.3">
      <c r="A13" s="9">
        <v>8</v>
      </c>
      <c r="B13" s="9" t="s">
        <v>388</v>
      </c>
      <c r="C13" s="9" t="s">
        <v>151</v>
      </c>
      <c r="D13" s="10" t="s">
        <v>464</v>
      </c>
      <c r="E13" s="9" t="s">
        <v>448</v>
      </c>
      <c r="F13" s="8" t="s">
        <v>386</v>
      </c>
      <c r="G13" s="8"/>
      <c r="H13" s="8"/>
      <c r="I13" s="8" t="s">
        <v>386</v>
      </c>
      <c r="J13" s="8"/>
      <c r="K13" s="8"/>
      <c r="L13" s="8" t="s">
        <v>386</v>
      </c>
      <c r="M13" s="8"/>
      <c r="N13" s="8"/>
      <c r="O13" s="12" t="s">
        <v>384</v>
      </c>
      <c r="P13" s="13"/>
      <c r="Q13" s="13"/>
      <c r="R13" s="8" t="s">
        <v>386</v>
      </c>
      <c r="S13" s="8"/>
      <c r="T13" s="8"/>
      <c r="U13" s="8" t="s">
        <v>386</v>
      </c>
      <c r="V13" s="8"/>
      <c r="W13" s="8"/>
      <c r="X13" s="8" t="s">
        <v>386</v>
      </c>
      <c r="Y13" s="8"/>
      <c r="Z13" s="8"/>
      <c r="AA13" s="8" t="s">
        <v>386</v>
      </c>
      <c r="AB13" s="8"/>
      <c r="AC13" s="8"/>
      <c r="AD13" s="8" t="s">
        <v>386</v>
      </c>
      <c r="AE13" s="8"/>
      <c r="AF13" s="8"/>
      <c r="AG13" s="8" t="s">
        <v>386</v>
      </c>
      <c r="AH13" s="8"/>
      <c r="AI13" s="8"/>
      <c r="AJ13" s="8" t="s">
        <v>386</v>
      </c>
      <c r="AK13" s="8"/>
      <c r="AL13" s="8"/>
      <c r="AM13" s="8" t="s">
        <v>386</v>
      </c>
      <c r="AN13" s="8"/>
      <c r="AO13" s="8"/>
    </row>
    <row r="14" spans="1:41" ht="25.05" customHeight="1" x14ac:dyDescent="0.3">
      <c r="A14" s="5">
        <v>9</v>
      </c>
      <c r="B14" s="5" t="s">
        <v>388</v>
      </c>
      <c r="C14" s="5" t="s">
        <v>154</v>
      </c>
      <c r="D14" s="6" t="s">
        <v>466</v>
      </c>
      <c r="E14" s="5" t="s">
        <v>448</v>
      </c>
      <c r="F14" s="11" t="s">
        <v>386</v>
      </c>
      <c r="G14" s="11"/>
      <c r="H14" s="11"/>
      <c r="I14" s="11" t="s">
        <v>386</v>
      </c>
      <c r="J14" s="11"/>
      <c r="K14" s="11"/>
      <c r="L14" s="11" t="s">
        <v>386</v>
      </c>
      <c r="M14" s="11"/>
      <c r="N14" s="11"/>
      <c r="O14" s="12" t="s">
        <v>384</v>
      </c>
      <c r="P14" s="13"/>
      <c r="Q14" s="13"/>
      <c r="R14" s="12" t="s">
        <v>384</v>
      </c>
      <c r="S14" s="13"/>
      <c r="T14" s="13"/>
      <c r="U14" s="12" t="s">
        <v>384</v>
      </c>
      <c r="V14" s="13"/>
      <c r="W14" s="13"/>
      <c r="X14" s="11" t="s">
        <v>386</v>
      </c>
      <c r="Y14" s="11"/>
      <c r="Z14" s="11"/>
      <c r="AA14" s="11" t="s">
        <v>386</v>
      </c>
      <c r="AB14" s="11"/>
      <c r="AC14" s="11"/>
      <c r="AD14" s="11" t="s">
        <v>386</v>
      </c>
      <c r="AE14" s="11"/>
      <c r="AF14" s="11"/>
      <c r="AG14" s="11" t="s">
        <v>386</v>
      </c>
      <c r="AH14" s="11"/>
      <c r="AI14" s="11"/>
      <c r="AJ14" s="11" t="s">
        <v>386</v>
      </c>
      <c r="AK14" s="11"/>
      <c r="AL14" s="11"/>
      <c r="AM14" s="11" t="s">
        <v>386</v>
      </c>
      <c r="AN14" s="11"/>
      <c r="AO14" s="11"/>
    </row>
    <row r="15" spans="1:41" ht="25.05" customHeight="1" x14ac:dyDescent="0.3">
      <c r="A15" s="9">
        <v>10</v>
      </c>
      <c r="B15" s="9" t="s">
        <v>389</v>
      </c>
      <c r="C15" s="9" t="s">
        <v>142</v>
      </c>
      <c r="D15" s="10" t="s">
        <v>470</v>
      </c>
      <c r="E15" s="9" t="s">
        <v>448</v>
      </c>
      <c r="F15" s="8" t="s">
        <v>386</v>
      </c>
      <c r="G15" s="8"/>
      <c r="H15" s="8"/>
      <c r="I15" s="8" t="s">
        <v>386</v>
      </c>
      <c r="J15" s="8"/>
      <c r="K15" s="8"/>
      <c r="L15" s="12" t="s">
        <v>384</v>
      </c>
      <c r="M15" s="13"/>
      <c r="N15" s="13"/>
      <c r="O15" s="12" t="s">
        <v>384</v>
      </c>
      <c r="P15" s="13"/>
      <c r="Q15" s="13"/>
      <c r="R15" s="8" t="s">
        <v>386</v>
      </c>
      <c r="S15" s="8"/>
      <c r="T15" s="8"/>
      <c r="U15" s="8" t="s">
        <v>386</v>
      </c>
      <c r="V15" s="8"/>
      <c r="W15" s="8"/>
      <c r="X15" s="8" t="s">
        <v>386</v>
      </c>
      <c r="Y15" s="8"/>
      <c r="Z15" s="8"/>
      <c r="AA15" s="8" t="s">
        <v>386</v>
      </c>
      <c r="AB15" s="8"/>
      <c r="AC15" s="8"/>
      <c r="AD15" s="8" t="s">
        <v>386</v>
      </c>
      <c r="AE15" s="8"/>
      <c r="AF15" s="8"/>
      <c r="AG15" s="12" t="s">
        <v>384</v>
      </c>
      <c r="AH15" s="13"/>
      <c r="AI15" s="13"/>
      <c r="AJ15" s="12" t="s">
        <v>384</v>
      </c>
      <c r="AK15" s="13"/>
      <c r="AL15" s="13"/>
      <c r="AM15" s="8" t="s">
        <v>386</v>
      </c>
      <c r="AN15" s="8"/>
      <c r="AO15" s="8"/>
    </row>
    <row r="16" spans="1:41" ht="25.05" customHeight="1" x14ac:dyDescent="0.3">
      <c r="A16" s="5">
        <v>11</v>
      </c>
      <c r="B16" s="5" t="s">
        <v>389</v>
      </c>
      <c r="C16" s="5" t="s">
        <v>147</v>
      </c>
      <c r="D16" s="6" t="s">
        <v>472</v>
      </c>
      <c r="E16" s="5" t="s">
        <v>448</v>
      </c>
      <c r="F16" s="11" t="s">
        <v>386</v>
      </c>
      <c r="G16" s="11"/>
      <c r="H16" s="11"/>
      <c r="I16" s="11" t="s">
        <v>386</v>
      </c>
      <c r="J16" s="11"/>
      <c r="K16" s="11"/>
      <c r="L16" s="12" t="s">
        <v>384</v>
      </c>
      <c r="M16" s="13"/>
      <c r="N16" s="13"/>
      <c r="O16" s="12" t="s">
        <v>384</v>
      </c>
      <c r="P16" s="13"/>
      <c r="Q16" s="13"/>
      <c r="R16" s="11" t="s">
        <v>386</v>
      </c>
      <c r="S16" s="11"/>
      <c r="T16" s="11"/>
      <c r="U16" s="11" t="s">
        <v>386</v>
      </c>
      <c r="V16" s="11"/>
      <c r="W16" s="11"/>
      <c r="X16" s="11" t="s">
        <v>386</v>
      </c>
      <c r="Y16" s="11"/>
      <c r="Z16" s="11"/>
      <c r="AA16" s="11" t="s">
        <v>386</v>
      </c>
      <c r="AB16" s="11"/>
      <c r="AC16" s="11"/>
      <c r="AD16" s="11" t="s">
        <v>386</v>
      </c>
      <c r="AE16" s="11"/>
      <c r="AF16" s="11"/>
      <c r="AG16" s="12" t="s">
        <v>384</v>
      </c>
      <c r="AH16" s="13"/>
      <c r="AI16" s="13"/>
      <c r="AJ16" s="12" t="s">
        <v>384</v>
      </c>
      <c r="AK16" s="13"/>
      <c r="AL16" s="13"/>
      <c r="AM16" s="11" t="s">
        <v>386</v>
      </c>
      <c r="AN16" s="11"/>
      <c r="AO16" s="11"/>
    </row>
    <row r="17" spans="1:41" ht="25.05" customHeight="1" x14ac:dyDescent="0.3">
      <c r="A17" s="9">
        <v>12</v>
      </c>
      <c r="B17" s="9" t="s">
        <v>389</v>
      </c>
      <c r="C17" s="9" t="s">
        <v>151</v>
      </c>
      <c r="D17" s="10" t="s">
        <v>474</v>
      </c>
      <c r="E17" s="9" t="s">
        <v>448</v>
      </c>
      <c r="F17" s="8" t="s">
        <v>386</v>
      </c>
      <c r="G17" s="8"/>
      <c r="H17" s="8"/>
      <c r="I17" s="8" t="s">
        <v>386</v>
      </c>
      <c r="J17" s="8"/>
      <c r="K17" s="8"/>
      <c r="L17" s="12" t="s">
        <v>384</v>
      </c>
      <c r="M17" s="13"/>
      <c r="N17" s="13"/>
      <c r="O17" s="12" t="s">
        <v>384</v>
      </c>
      <c r="P17" s="13"/>
      <c r="Q17" s="13"/>
      <c r="R17" s="8" t="s">
        <v>386</v>
      </c>
      <c r="S17" s="8"/>
      <c r="T17" s="8"/>
      <c r="U17" s="8" t="s">
        <v>386</v>
      </c>
      <c r="V17" s="8"/>
      <c r="W17" s="8"/>
      <c r="X17" s="8" t="s">
        <v>386</v>
      </c>
      <c r="Y17" s="8"/>
      <c r="Z17" s="8"/>
      <c r="AA17" s="8" t="s">
        <v>386</v>
      </c>
      <c r="AB17" s="8"/>
      <c r="AC17" s="8"/>
      <c r="AD17" s="8" t="s">
        <v>386</v>
      </c>
      <c r="AE17" s="8"/>
      <c r="AF17" s="8"/>
      <c r="AG17" s="12" t="s">
        <v>384</v>
      </c>
      <c r="AH17" s="13"/>
      <c r="AI17" s="13"/>
      <c r="AJ17" s="12" t="s">
        <v>384</v>
      </c>
      <c r="AK17" s="13"/>
      <c r="AL17" s="13"/>
      <c r="AM17" s="8" t="s">
        <v>386</v>
      </c>
      <c r="AN17" s="8"/>
      <c r="AO17" s="8"/>
    </row>
    <row r="18" spans="1:41" ht="25.05" customHeight="1" x14ac:dyDescent="0.3">
      <c r="A18" s="5">
        <v>13</v>
      </c>
      <c r="B18" s="5" t="s">
        <v>389</v>
      </c>
      <c r="C18" s="5" t="s">
        <v>154</v>
      </c>
      <c r="D18" s="6" t="s">
        <v>476</v>
      </c>
      <c r="E18" s="5" t="s">
        <v>448</v>
      </c>
      <c r="F18" s="11" t="s">
        <v>386</v>
      </c>
      <c r="G18" s="11"/>
      <c r="H18" s="11"/>
      <c r="I18" s="11" t="s">
        <v>386</v>
      </c>
      <c r="J18" s="11"/>
      <c r="K18" s="11"/>
      <c r="L18" s="11" t="s">
        <v>386</v>
      </c>
      <c r="M18" s="11"/>
      <c r="N18" s="11"/>
      <c r="O18" s="12" t="s">
        <v>384</v>
      </c>
      <c r="P18" s="13"/>
      <c r="Q18" s="13"/>
      <c r="R18" s="12" t="s">
        <v>384</v>
      </c>
      <c r="S18" s="13"/>
      <c r="T18" s="13"/>
      <c r="U18" s="11" t="s">
        <v>386</v>
      </c>
      <c r="V18" s="11"/>
      <c r="W18" s="11"/>
      <c r="X18" s="11" t="s">
        <v>386</v>
      </c>
      <c r="Y18" s="11"/>
      <c r="Z18" s="11"/>
      <c r="AA18" s="11" t="s">
        <v>386</v>
      </c>
      <c r="AB18" s="11"/>
      <c r="AC18" s="11"/>
      <c r="AD18" s="11" t="s">
        <v>386</v>
      </c>
      <c r="AE18" s="11"/>
      <c r="AF18" s="11"/>
      <c r="AG18" s="11" t="s">
        <v>386</v>
      </c>
      <c r="AH18" s="11"/>
      <c r="AI18" s="11"/>
      <c r="AJ18" s="12" t="s">
        <v>384</v>
      </c>
      <c r="AK18" s="13"/>
      <c r="AL18" s="13"/>
      <c r="AM18" s="12" t="s">
        <v>384</v>
      </c>
      <c r="AN18" s="13"/>
      <c r="AO18" s="13"/>
    </row>
    <row r="19" spans="1:41" ht="25.05" customHeight="1" x14ac:dyDescent="0.3">
      <c r="A19" s="9">
        <v>14</v>
      </c>
      <c r="B19" s="9" t="s">
        <v>391</v>
      </c>
      <c r="C19" s="9" t="s">
        <v>142</v>
      </c>
      <c r="D19" s="10" t="s">
        <v>481</v>
      </c>
      <c r="E19" s="9" t="s">
        <v>461</v>
      </c>
      <c r="F19" s="12" t="s">
        <v>384</v>
      </c>
      <c r="G19" s="13"/>
      <c r="H19" s="13"/>
      <c r="I19" s="12" t="s">
        <v>384</v>
      </c>
      <c r="J19" s="13"/>
      <c r="K19" s="13"/>
      <c r="L19" s="12" t="s">
        <v>384</v>
      </c>
      <c r="M19" s="13"/>
      <c r="N19" s="13"/>
      <c r="O19" s="8" t="s">
        <v>386</v>
      </c>
      <c r="P19" s="8"/>
      <c r="Q19" s="8"/>
      <c r="R19" s="8" t="s">
        <v>386</v>
      </c>
      <c r="S19" s="8"/>
      <c r="T19" s="8"/>
      <c r="U19" s="8" t="s">
        <v>386</v>
      </c>
      <c r="V19" s="8"/>
      <c r="W19" s="8"/>
      <c r="X19" s="8" t="s">
        <v>386</v>
      </c>
      <c r="Y19" s="8"/>
      <c r="Z19" s="8"/>
      <c r="AA19" s="8" t="s">
        <v>386</v>
      </c>
      <c r="AB19" s="8"/>
      <c r="AC19" s="8"/>
      <c r="AD19" s="8" t="s">
        <v>386</v>
      </c>
      <c r="AE19" s="8"/>
      <c r="AF19" s="8"/>
      <c r="AG19" s="8" t="s">
        <v>386</v>
      </c>
      <c r="AH19" s="8"/>
      <c r="AI19" s="8"/>
      <c r="AJ19" s="8" t="s">
        <v>386</v>
      </c>
      <c r="AK19" s="8"/>
      <c r="AL19" s="8"/>
      <c r="AM19" s="8" t="s">
        <v>386</v>
      </c>
      <c r="AN19" s="8"/>
      <c r="AO19" s="8"/>
    </row>
    <row r="20" spans="1:41" ht="25.05" customHeight="1" x14ac:dyDescent="0.3">
      <c r="A20" s="5">
        <v>15</v>
      </c>
      <c r="B20" s="5" t="s">
        <v>391</v>
      </c>
      <c r="C20" s="5" t="s">
        <v>147</v>
      </c>
      <c r="D20" s="6" t="s">
        <v>483</v>
      </c>
      <c r="E20" s="5" t="s">
        <v>485</v>
      </c>
      <c r="F20" s="11" t="s">
        <v>386</v>
      </c>
      <c r="G20" s="11"/>
      <c r="H20" s="11"/>
      <c r="I20" s="12" t="s">
        <v>384</v>
      </c>
      <c r="J20" s="13"/>
      <c r="K20" s="13"/>
      <c r="L20" s="12" t="s">
        <v>384</v>
      </c>
      <c r="M20" s="13"/>
      <c r="N20" s="13"/>
      <c r="O20" s="12" t="s">
        <v>384</v>
      </c>
      <c r="P20" s="13"/>
      <c r="Q20" s="13"/>
      <c r="R20" s="11" t="s">
        <v>386</v>
      </c>
      <c r="S20" s="11"/>
      <c r="T20" s="11"/>
      <c r="U20" s="11" t="s">
        <v>386</v>
      </c>
      <c r="V20" s="11"/>
      <c r="W20" s="11"/>
      <c r="X20" s="11" t="s">
        <v>386</v>
      </c>
      <c r="Y20" s="11"/>
      <c r="Z20" s="11"/>
      <c r="AA20" s="11" t="s">
        <v>386</v>
      </c>
      <c r="AB20" s="11"/>
      <c r="AC20" s="11"/>
      <c r="AD20" s="11" t="s">
        <v>386</v>
      </c>
      <c r="AE20" s="11"/>
      <c r="AF20" s="11"/>
      <c r="AG20" s="11" t="s">
        <v>386</v>
      </c>
      <c r="AH20" s="11"/>
      <c r="AI20" s="11"/>
      <c r="AJ20" s="11" t="s">
        <v>386</v>
      </c>
      <c r="AK20" s="11"/>
      <c r="AL20" s="11"/>
      <c r="AM20" s="11" t="s">
        <v>386</v>
      </c>
      <c r="AN20" s="11"/>
      <c r="AO20" s="11"/>
    </row>
    <row r="21" spans="1:41" ht="25.05" customHeight="1" x14ac:dyDescent="0.3">
      <c r="A21" s="9">
        <v>16</v>
      </c>
      <c r="B21" s="9" t="s">
        <v>391</v>
      </c>
      <c r="C21" s="9" t="s">
        <v>151</v>
      </c>
      <c r="D21" s="10" t="s">
        <v>486</v>
      </c>
      <c r="E21" s="9" t="s">
        <v>485</v>
      </c>
      <c r="F21" s="8" t="s">
        <v>386</v>
      </c>
      <c r="G21" s="8"/>
      <c r="H21" s="8"/>
      <c r="I21" s="8" t="s">
        <v>386</v>
      </c>
      <c r="J21" s="8"/>
      <c r="K21" s="8"/>
      <c r="L21" s="12" t="s">
        <v>384</v>
      </c>
      <c r="M21" s="13"/>
      <c r="N21" s="13"/>
      <c r="O21" s="12" t="s">
        <v>384</v>
      </c>
      <c r="P21" s="13"/>
      <c r="Q21" s="13"/>
      <c r="R21" s="12" t="s">
        <v>384</v>
      </c>
      <c r="S21" s="13"/>
      <c r="T21" s="13"/>
      <c r="U21" s="12" t="s">
        <v>384</v>
      </c>
      <c r="V21" s="13"/>
      <c r="W21" s="13"/>
      <c r="X21" s="12" t="s">
        <v>384</v>
      </c>
      <c r="Y21" s="13"/>
      <c r="Z21" s="13"/>
      <c r="AA21" s="12" t="s">
        <v>384</v>
      </c>
      <c r="AB21" s="13"/>
      <c r="AC21" s="13"/>
      <c r="AD21" s="12" t="s">
        <v>384</v>
      </c>
      <c r="AE21" s="13"/>
      <c r="AF21" s="13"/>
      <c r="AG21" s="8" t="s">
        <v>386</v>
      </c>
      <c r="AH21" s="8"/>
      <c r="AI21" s="8"/>
      <c r="AJ21" s="8" t="s">
        <v>386</v>
      </c>
      <c r="AK21" s="8"/>
      <c r="AL21" s="8"/>
      <c r="AM21" s="8" t="s">
        <v>386</v>
      </c>
      <c r="AN21" s="8"/>
      <c r="AO21" s="8"/>
    </row>
    <row r="22" spans="1:41" ht="25.05" customHeight="1" x14ac:dyDescent="0.3">
      <c r="A22" s="5">
        <v>17</v>
      </c>
      <c r="B22" s="5" t="s">
        <v>391</v>
      </c>
      <c r="C22" s="5" t="s">
        <v>154</v>
      </c>
      <c r="D22" s="6" t="s">
        <v>488</v>
      </c>
      <c r="E22" s="5" t="s">
        <v>485</v>
      </c>
      <c r="F22" s="11" t="s">
        <v>386</v>
      </c>
      <c r="G22" s="11"/>
      <c r="H22" s="11"/>
      <c r="I22" s="11" t="s">
        <v>386</v>
      </c>
      <c r="J22" s="11"/>
      <c r="K22" s="11"/>
      <c r="L22" s="11" t="s">
        <v>386</v>
      </c>
      <c r="M22" s="11"/>
      <c r="N22" s="11"/>
      <c r="O22" s="12" t="s">
        <v>384</v>
      </c>
      <c r="P22" s="13"/>
      <c r="Q22" s="13"/>
      <c r="R22" s="12" t="s">
        <v>384</v>
      </c>
      <c r="S22" s="13"/>
      <c r="T22" s="13"/>
      <c r="U22" s="12" t="s">
        <v>384</v>
      </c>
      <c r="V22" s="13"/>
      <c r="W22" s="13"/>
      <c r="X22" s="12" t="s">
        <v>384</v>
      </c>
      <c r="Y22" s="13"/>
      <c r="Z22" s="13"/>
      <c r="AA22" s="12" t="s">
        <v>384</v>
      </c>
      <c r="AB22" s="13"/>
      <c r="AC22" s="13"/>
      <c r="AD22" s="12" t="s">
        <v>384</v>
      </c>
      <c r="AE22" s="13"/>
      <c r="AF22" s="13"/>
      <c r="AG22" s="12" t="s">
        <v>384</v>
      </c>
      <c r="AH22" s="13"/>
      <c r="AI22" s="13"/>
      <c r="AJ22" s="12" t="s">
        <v>384</v>
      </c>
      <c r="AK22" s="13"/>
      <c r="AL22" s="13"/>
      <c r="AM22" s="12" t="s">
        <v>384</v>
      </c>
      <c r="AN22" s="13"/>
      <c r="AO22" s="13"/>
    </row>
    <row r="23" spans="1:41" ht="25.05" customHeight="1" x14ac:dyDescent="0.3">
      <c r="A23" s="9">
        <v>18</v>
      </c>
      <c r="B23" s="9" t="s">
        <v>392</v>
      </c>
      <c r="C23" s="9" t="s">
        <v>142</v>
      </c>
      <c r="D23" s="10" t="s">
        <v>492</v>
      </c>
      <c r="E23" s="9" t="s">
        <v>494</v>
      </c>
      <c r="F23" s="12" t="s">
        <v>384</v>
      </c>
      <c r="G23" s="13"/>
      <c r="H23" s="13"/>
      <c r="I23" s="12" t="s">
        <v>384</v>
      </c>
      <c r="J23" s="13"/>
      <c r="K23" s="13"/>
      <c r="L23" s="12" t="s">
        <v>384</v>
      </c>
      <c r="M23" s="13"/>
      <c r="N23" s="13"/>
      <c r="O23" s="12" t="s">
        <v>384</v>
      </c>
      <c r="P23" s="13"/>
      <c r="Q23" s="13"/>
      <c r="R23" s="8" t="s">
        <v>386</v>
      </c>
      <c r="S23" s="8"/>
      <c r="T23" s="8"/>
      <c r="U23" s="8" t="s">
        <v>386</v>
      </c>
      <c r="V23" s="8"/>
      <c r="W23" s="8"/>
      <c r="X23" s="8" t="s">
        <v>386</v>
      </c>
      <c r="Y23" s="8"/>
      <c r="Z23" s="8"/>
      <c r="AA23" s="8" t="s">
        <v>386</v>
      </c>
      <c r="AB23" s="8"/>
      <c r="AC23" s="8"/>
      <c r="AD23" s="8" t="s">
        <v>386</v>
      </c>
      <c r="AE23" s="8"/>
      <c r="AF23" s="8"/>
      <c r="AG23" s="8" t="s">
        <v>386</v>
      </c>
      <c r="AH23" s="8"/>
      <c r="AI23" s="8"/>
      <c r="AJ23" s="8" t="s">
        <v>386</v>
      </c>
      <c r="AK23" s="8"/>
      <c r="AL23" s="8"/>
      <c r="AM23" s="8" t="s">
        <v>386</v>
      </c>
      <c r="AN23" s="8"/>
      <c r="AO23" s="8"/>
    </row>
    <row r="24" spans="1:41" ht="25.05" customHeight="1" x14ac:dyDescent="0.3">
      <c r="A24" s="5">
        <v>19</v>
      </c>
      <c r="B24" s="5" t="s">
        <v>392</v>
      </c>
      <c r="C24" s="5" t="s">
        <v>147</v>
      </c>
      <c r="D24" s="6" t="s">
        <v>495</v>
      </c>
      <c r="E24" s="5" t="s">
        <v>448</v>
      </c>
      <c r="F24" s="12" t="s">
        <v>384</v>
      </c>
      <c r="G24" s="13"/>
      <c r="H24" s="13"/>
      <c r="I24" s="12" t="s">
        <v>384</v>
      </c>
      <c r="J24" s="13"/>
      <c r="K24" s="13"/>
      <c r="L24" s="12" t="s">
        <v>384</v>
      </c>
      <c r="M24" s="13"/>
      <c r="N24" s="13"/>
      <c r="O24" s="12" t="s">
        <v>384</v>
      </c>
      <c r="P24" s="13"/>
      <c r="Q24" s="13"/>
      <c r="R24" s="11" t="s">
        <v>386</v>
      </c>
      <c r="S24" s="11"/>
      <c r="T24" s="11"/>
      <c r="U24" s="11" t="s">
        <v>386</v>
      </c>
      <c r="V24" s="11"/>
      <c r="W24" s="11"/>
      <c r="X24" s="11" t="s">
        <v>386</v>
      </c>
      <c r="Y24" s="11"/>
      <c r="Z24" s="11"/>
      <c r="AA24" s="11" t="s">
        <v>386</v>
      </c>
      <c r="AB24" s="11"/>
      <c r="AC24" s="11"/>
      <c r="AD24" s="11" t="s">
        <v>386</v>
      </c>
      <c r="AE24" s="11"/>
      <c r="AF24" s="11"/>
      <c r="AG24" s="11" t="s">
        <v>386</v>
      </c>
      <c r="AH24" s="11"/>
      <c r="AI24" s="11"/>
      <c r="AJ24" s="11" t="s">
        <v>386</v>
      </c>
      <c r="AK24" s="11"/>
      <c r="AL24" s="11"/>
      <c r="AM24" s="11" t="s">
        <v>386</v>
      </c>
      <c r="AN24" s="11"/>
      <c r="AO24" s="11"/>
    </row>
    <row r="25" spans="1:41" ht="25.05" customHeight="1" x14ac:dyDescent="0.3">
      <c r="A25" s="9">
        <v>20</v>
      </c>
      <c r="B25" s="9" t="s">
        <v>392</v>
      </c>
      <c r="C25" s="9" t="s">
        <v>151</v>
      </c>
      <c r="D25" s="10" t="s">
        <v>497</v>
      </c>
      <c r="E25" s="9" t="s">
        <v>448</v>
      </c>
      <c r="F25" s="8" t="s">
        <v>386</v>
      </c>
      <c r="G25" s="8"/>
      <c r="H25" s="8"/>
      <c r="I25" s="8" t="s">
        <v>386</v>
      </c>
      <c r="J25" s="8"/>
      <c r="K25" s="8"/>
      <c r="L25" s="12" t="s">
        <v>384</v>
      </c>
      <c r="M25" s="13"/>
      <c r="N25" s="13"/>
      <c r="O25" s="12" t="s">
        <v>384</v>
      </c>
      <c r="P25" s="13"/>
      <c r="Q25" s="13"/>
      <c r="R25" s="12" t="s">
        <v>384</v>
      </c>
      <c r="S25" s="13"/>
      <c r="T25" s="13"/>
      <c r="U25" s="12" t="s">
        <v>384</v>
      </c>
      <c r="V25" s="13"/>
      <c r="W25" s="13"/>
      <c r="X25" s="12" t="s">
        <v>384</v>
      </c>
      <c r="Y25" s="13"/>
      <c r="Z25" s="13"/>
      <c r="AA25" s="12" t="s">
        <v>384</v>
      </c>
      <c r="AB25" s="13"/>
      <c r="AC25" s="13"/>
      <c r="AD25" s="12" t="s">
        <v>384</v>
      </c>
      <c r="AE25" s="13"/>
      <c r="AF25" s="13"/>
      <c r="AG25" s="12" t="s">
        <v>384</v>
      </c>
      <c r="AH25" s="13"/>
      <c r="AI25" s="13"/>
      <c r="AJ25" s="12" t="s">
        <v>384</v>
      </c>
      <c r="AK25" s="13"/>
      <c r="AL25" s="13"/>
      <c r="AM25" s="12" t="s">
        <v>384</v>
      </c>
      <c r="AN25" s="13"/>
      <c r="AO25" s="13"/>
    </row>
    <row r="26" spans="1:41" ht="25.05" customHeight="1" x14ac:dyDescent="0.3">
      <c r="A26" s="5">
        <v>21</v>
      </c>
      <c r="B26" s="5" t="s">
        <v>392</v>
      </c>
      <c r="C26" s="5" t="s">
        <v>154</v>
      </c>
      <c r="D26" s="6" t="s">
        <v>499</v>
      </c>
      <c r="E26" s="5" t="s">
        <v>448</v>
      </c>
      <c r="F26" s="11" t="s">
        <v>386</v>
      </c>
      <c r="G26" s="11"/>
      <c r="H26" s="11"/>
      <c r="I26" s="11" t="s">
        <v>386</v>
      </c>
      <c r="J26" s="11"/>
      <c r="K26" s="11"/>
      <c r="L26" s="11" t="s">
        <v>386</v>
      </c>
      <c r="M26" s="11"/>
      <c r="N26" s="11"/>
      <c r="O26" s="11" t="s">
        <v>386</v>
      </c>
      <c r="P26" s="11"/>
      <c r="Q26" s="11"/>
      <c r="R26" s="12" t="s">
        <v>384</v>
      </c>
      <c r="S26" s="13"/>
      <c r="T26" s="13"/>
      <c r="U26" s="12" t="s">
        <v>384</v>
      </c>
      <c r="V26" s="13"/>
      <c r="W26" s="13"/>
      <c r="X26" s="11" t="s">
        <v>386</v>
      </c>
      <c r="Y26" s="11"/>
      <c r="Z26" s="11"/>
      <c r="AA26" s="11" t="s">
        <v>386</v>
      </c>
      <c r="AB26" s="11"/>
      <c r="AC26" s="11"/>
      <c r="AD26" s="12" t="s">
        <v>384</v>
      </c>
      <c r="AE26" s="13"/>
      <c r="AF26" s="13"/>
      <c r="AG26" s="12" t="s">
        <v>384</v>
      </c>
      <c r="AH26" s="13"/>
      <c r="AI26" s="13"/>
      <c r="AJ26" s="11" t="s">
        <v>386</v>
      </c>
      <c r="AK26" s="11"/>
      <c r="AL26" s="11"/>
      <c r="AM26" s="11" t="s">
        <v>386</v>
      </c>
      <c r="AN26" s="11"/>
      <c r="AO26" s="11"/>
    </row>
    <row r="27" spans="1:41" ht="25.05" customHeight="1" x14ac:dyDescent="0.3">
      <c r="A27" s="9">
        <v>22</v>
      </c>
      <c r="B27" s="9" t="s">
        <v>393</v>
      </c>
      <c r="C27" s="9" t="s">
        <v>142</v>
      </c>
      <c r="D27" s="10" t="s">
        <v>503</v>
      </c>
      <c r="E27" s="9" t="s">
        <v>485</v>
      </c>
      <c r="F27" s="8" t="s">
        <v>386</v>
      </c>
      <c r="G27" s="8"/>
      <c r="H27" s="8"/>
      <c r="I27" s="8" t="s">
        <v>386</v>
      </c>
      <c r="J27" s="8"/>
      <c r="K27" s="8"/>
      <c r="L27" s="12" t="s">
        <v>384</v>
      </c>
      <c r="M27" s="13"/>
      <c r="N27" s="13"/>
      <c r="O27" s="12" t="s">
        <v>384</v>
      </c>
      <c r="P27" s="13"/>
      <c r="Q27" s="13"/>
      <c r="R27" s="8" t="s">
        <v>386</v>
      </c>
      <c r="S27" s="8"/>
      <c r="T27" s="8"/>
      <c r="U27" s="8" t="s">
        <v>386</v>
      </c>
      <c r="V27" s="8"/>
      <c r="W27" s="8"/>
      <c r="X27" s="8" t="s">
        <v>386</v>
      </c>
      <c r="Y27" s="8"/>
      <c r="Z27" s="8"/>
      <c r="AA27" s="8" t="s">
        <v>386</v>
      </c>
      <c r="AB27" s="8"/>
      <c r="AC27" s="8"/>
      <c r="AD27" s="8" t="s">
        <v>386</v>
      </c>
      <c r="AE27" s="8"/>
      <c r="AF27" s="8"/>
      <c r="AG27" s="8" t="s">
        <v>386</v>
      </c>
      <c r="AH27" s="8"/>
      <c r="AI27" s="8"/>
      <c r="AJ27" s="8" t="s">
        <v>386</v>
      </c>
      <c r="AK27" s="8"/>
      <c r="AL27" s="8"/>
      <c r="AM27" s="8" t="s">
        <v>386</v>
      </c>
      <c r="AN27" s="8"/>
      <c r="AO27" s="8"/>
    </row>
    <row r="28" spans="1:41" ht="25.05" customHeight="1" x14ac:dyDescent="0.3">
      <c r="A28" s="5">
        <v>23</v>
      </c>
      <c r="B28" s="5" t="s">
        <v>393</v>
      </c>
      <c r="C28" s="5" t="s">
        <v>147</v>
      </c>
      <c r="D28" s="6" t="s">
        <v>505</v>
      </c>
      <c r="E28" s="5" t="s">
        <v>448</v>
      </c>
      <c r="F28" s="11" t="s">
        <v>386</v>
      </c>
      <c r="G28" s="11"/>
      <c r="H28" s="11"/>
      <c r="I28" s="11" t="s">
        <v>386</v>
      </c>
      <c r="J28" s="11"/>
      <c r="K28" s="11"/>
      <c r="L28" s="12" t="s">
        <v>384</v>
      </c>
      <c r="M28" s="13"/>
      <c r="N28" s="13"/>
      <c r="O28" s="12" t="s">
        <v>384</v>
      </c>
      <c r="P28" s="13"/>
      <c r="Q28" s="13"/>
      <c r="R28" s="11" t="s">
        <v>386</v>
      </c>
      <c r="S28" s="11"/>
      <c r="T28" s="11"/>
      <c r="U28" s="11" t="s">
        <v>386</v>
      </c>
      <c r="V28" s="11"/>
      <c r="W28" s="11"/>
      <c r="X28" s="11" t="s">
        <v>386</v>
      </c>
      <c r="Y28" s="11"/>
      <c r="Z28" s="11"/>
      <c r="AA28" s="11" t="s">
        <v>386</v>
      </c>
      <c r="AB28" s="11"/>
      <c r="AC28" s="11"/>
      <c r="AD28" s="11" t="s">
        <v>386</v>
      </c>
      <c r="AE28" s="11"/>
      <c r="AF28" s="11"/>
      <c r="AG28" s="11" t="s">
        <v>386</v>
      </c>
      <c r="AH28" s="11"/>
      <c r="AI28" s="11"/>
      <c r="AJ28" s="11" t="s">
        <v>386</v>
      </c>
      <c r="AK28" s="11"/>
      <c r="AL28" s="11"/>
      <c r="AM28" s="11" t="s">
        <v>386</v>
      </c>
      <c r="AN28" s="11"/>
      <c r="AO28" s="11"/>
    </row>
    <row r="29" spans="1:41" ht="25.05" customHeight="1" x14ac:dyDescent="0.3">
      <c r="A29" s="9">
        <v>24</v>
      </c>
      <c r="B29" s="9" t="s">
        <v>393</v>
      </c>
      <c r="C29" s="9" t="s">
        <v>151</v>
      </c>
      <c r="D29" s="10" t="s">
        <v>507</v>
      </c>
      <c r="E29" s="9" t="s">
        <v>485</v>
      </c>
      <c r="F29" s="8" t="s">
        <v>386</v>
      </c>
      <c r="G29" s="8"/>
      <c r="H29" s="8"/>
      <c r="I29" s="8" t="s">
        <v>386</v>
      </c>
      <c r="J29" s="8"/>
      <c r="K29" s="8"/>
      <c r="L29" s="8" t="s">
        <v>386</v>
      </c>
      <c r="M29" s="8"/>
      <c r="N29" s="8"/>
      <c r="O29" s="12" t="s">
        <v>384</v>
      </c>
      <c r="P29" s="13"/>
      <c r="Q29" s="13"/>
      <c r="R29" s="12" t="s">
        <v>384</v>
      </c>
      <c r="S29" s="13"/>
      <c r="T29" s="13"/>
      <c r="U29" s="12" t="s">
        <v>384</v>
      </c>
      <c r="V29" s="13"/>
      <c r="W29" s="13"/>
      <c r="X29" s="8" t="s">
        <v>386</v>
      </c>
      <c r="Y29" s="8"/>
      <c r="Z29" s="8"/>
      <c r="AA29" s="8" t="s">
        <v>386</v>
      </c>
      <c r="AB29" s="8"/>
      <c r="AC29" s="8"/>
      <c r="AD29" s="8" t="s">
        <v>386</v>
      </c>
      <c r="AE29" s="8"/>
      <c r="AF29" s="8"/>
      <c r="AG29" s="8" t="s">
        <v>386</v>
      </c>
      <c r="AH29" s="8"/>
      <c r="AI29" s="8"/>
      <c r="AJ29" s="8" t="s">
        <v>386</v>
      </c>
      <c r="AK29" s="8"/>
      <c r="AL29" s="8"/>
      <c r="AM29" s="8" t="s">
        <v>386</v>
      </c>
      <c r="AN29" s="8"/>
      <c r="AO29" s="8"/>
    </row>
    <row r="30" spans="1:41" ht="25.05" customHeight="1" x14ac:dyDescent="0.3">
      <c r="A30" s="5">
        <v>25</v>
      </c>
      <c r="B30" s="5" t="s">
        <v>393</v>
      </c>
      <c r="C30" s="5" t="s">
        <v>154</v>
      </c>
      <c r="D30" s="6" t="s">
        <v>509</v>
      </c>
      <c r="E30" s="5" t="s">
        <v>485</v>
      </c>
      <c r="F30" s="11" t="s">
        <v>386</v>
      </c>
      <c r="G30" s="11"/>
      <c r="H30" s="11"/>
      <c r="I30" s="11" t="s">
        <v>386</v>
      </c>
      <c r="J30" s="11"/>
      <c r="K30" s="11"/>
      <c r="L30" s="11" t="s">
        <v>386</v>
      </c>
      <c r="M30" s="11"/>
      <c r="N30" s="11"/>
      <c r="O30" s="11" t="s">
        <v>386</v>
      </c>
      <c r="P30" s="11"/>
      <c r="Q30" s="11"/>
      <c r="R30" s="12" t="s">
        <v>384</v>
      </c>
      <c r="S30" s="13"/>
      <c r="T30" s="13"/>
      <c r="U30" s="12" t="s">
        <v>384</v>
      </c>
      <c r="V30" s="13"/>
      <c r="W30" s="13"/>
      <c r="X30" s="12" t="s">
        <v>384</v>
      </c>
      <c r="Y30" s="13"/>
      <c r="Z30" s="13"/>
      <c r="AA30" s="12" t="s">
        <v>384</v>
      </c>
      <c r="AB30" s="13"/>
      <c r="AC30" s="13"/>
      <c r="AD30" s="12" t="s">
        <v>384</v>
      </c>
      <c r="AE30" s="13"/>
      <c r="AF30" s="13"/>
      <c r="AG30" s="12" t="s">
        <v>384</v>
      </c>
      <c r="AH30" s="13"/>
      <c r="AI30" s="13"/>
      <c r="AJ30" s="12" t="s">
        <v>384</v>
      </c>
      <c r="AK30" s="13"/>
      <c r="AL30" s="13"/>
      <c r="AM30" s="12" t="s">
        <v>384</v>
      </c>
      <c r="AN30" s="13"/>
      <c r="AO30" s="13"/>
    </row>
    <row r="31" spans="1:41" ht="25.05" customHeight="1" x14ac:dyDescent="0.3">
      <c r="A31" s="9">
        <v>26</v>
      </c>
      <c r="B31" s="9" t="s">
        <v>394</v>
      </c>
      <c r="C31" s="9" t="s">
        <v>142</v>
      </c>
      <c r="D31" s="10" t="s">
        <v>513</v>
      </c>
      <c r="E31" s="9" t="s">
        <v>448</v>
      </c>
      <c r="F31" s="8" t="s">
        <v>386</v>
      </c>
      <c r="G31" s="8"/>
      <c r="H31" s="8"/>
      <c r="I31" s="8" t="s">
        <v>386</v>
      </c>
      <c r="J31" s="8"/>
      <c r="K31" s="8"/>
      <c r="L31" s="12" t="s">
        <v>384</v>
      </c>
      <c r="M31" s="13"/>
      <c r="N31" s="13"/>
      <c r="O31" s="12" t="s">
        <v>384</v>
      </c>
      <c r="P31" s="13"/>
      <c r="Q31" s="13"/>
      <c r="R31" s="8" t="s">
        <v>386</v>
      </c>
      <c r="S31" s="8"/>
      <c r="T31" s="8"/>
      <c r="U31" s="8" t="s">
        <v>386</v>
      </c>
      <c r="V31" s="8"/>
      <c r="W31" s="8"/>
      <c r="X31" s="8" t="s">
        <v>386</v>
      </c>
      <c r="Y31" s="8"/>
      <c r="Z31" s="8"/>
      <c r="AA31" s="8" t="s">
        <v>386</v>
      </c>
      <c r="AB31" s="8"/>
      <c r="AC31" s="8"/>
      <c r="AD31" s="8" t="s">
        <v>386</v>
      </c>
      <c r="AE31" s="8"/>
      <c r="AF31" s="8"/>
      <c r="AG31" s="8" t="s">
        <v>386</v>
      </c>
      <c r="AH31" s="8"/>
      <c r="AI31" s="8"/>
      <c r="AJ31" s="8" t="s">
        <v>386</v>
      </c>
      <c r="AK31" s="8"/>
      <c r="AL31" s="8"/>
      <c r="AM31" s="8" t="s">
        <v>386</v>
      </c>
      <c r="AN31" s="8"/>
      <c r="AO31" s="8"/>
    </row>
    <row r="32" spans="1:41" ht="25.05" customHeight="1" x14ac:dyDescent="0.3">
      <c r="A32" s="5">
        <v>27</v>
      </c>
      <c r="B32" s="5" t="s">
        <v>394</v>
      </c>
      <c r="C32" s="5" t="s">
        <v>147</v>
      </c>
      <c r="D32" s="6" t="s">
        <v>515</v>
      </c>
      <c r="E32" s="5" t="s">
        <v>448</v>
      </c>
      <c r="F32" s="11" t="s">
        <v>386</v>
      </c>
      <c r="G32" s="11"/>
      <c r="H32" s="11"/>
      <c r="I32" s="11" t="s">
        <v>386</v>
      </c>
      <c r="J32" s="11"/>
      <c r="K32" s="11"/>
      <c r="L32" s="12" t="s">
        <v>384</v>
      </c>
      <c r="M32" s="13"/>
      <c r="N32" s="13"/>
      <c r="O32" s="12" t="s">
        <v>384</v>
      </c>
      <c r="P32" s="13"/>
      <c r="Q32" s="13"/>
      <c r="R32" s="11" t="s">
        <v>386</v>
      </c>
      <c r="S32" s="11"/>
      <c r="T32" s="11"/>
      <c r="U32" s="11" t="s">
        <v>386</v>
      </c>
      <c r="V32" s="11"/>
      <c r="W32" s="11"/>
      <c r="X32" s="11" t="s">
        <v>386</v>
      </c>
      <c r="Y32" s="11"/>
      <c r="Z32" s="11"/>
      <c r="AA32" s="11" t="s">
        <v>386</v>
      </c>
      <c r="AB32" s="11"/>
      <c r="AC32" s="11"/>
      <c r="AD32" s="11" t="s">
        <v>386</v>
      </c>
      <c r="AE32" s="11"/>
      <c r="AF32" s="11"/>
      <c r="AG32" s="11" t="s">
        <v>386</v>
      </c>
      <c r="AH32" s="11"/>
      <c r="AI32" s="11"/>
      <c r="AJ32" s="11" t="s">
        <v>386</v>
      </c>
      <c r="AK32" s="11"/>
      <c r="AL32" s="11"/>
      <c r="AM32" s="11" t="s">
        <v>386</v>
      </c>
      <c r="AN32" s="11"/>
      <c r="AO32" s="11"/>
    </row>
    <row r="33" spans="1:41" ht="25.05" customHeight="1" x14ac:dyDescent="0.3">
      <c r="A33" s="9">
        <v>28</v>
      </c>
      <c r="B33" s="9" t="s">
        <v>394</v>
      </c>
      <c r="C33" s="9" t="s">
        <v>151</v>
      </c>
      <c r="D33" s="10" t="s">
        <v>517</v>
      </c>
      <c r="E33" s="9" t="s">
        <v>448</v>
      </c>
      <c r="F33" s="8" t="s">
        <v>386</v>
      </c>
      <c r="G33" s="8"/>
      <c r="H33" s="8"/>
      <c r="I33" s="8" t="s">
        <v>386</v>
      </c>
      <c r="J33" s="8"/>
      <c r="K33" s="8"/>
      <c r="L33" s="8" t="s">
        <v>386</v>
      </c>
      <c r="M33" s="8"/>
      <c r="N33" s="8"/>
      <c r="O33" s="12" t="s">
        <v>384</v>
      </c>
      <c r="P33" s="13"/>
      <c r="Q33" s="13"/>
      <c r="R33" s="12" t="s">
        <v>384</v>
      </c>
      <c r="S33" s="13"/>
      <c r="T33" s="13"/>
      <c r="U33" s="8" t="s">
        <v>386</v>
      </c>
      <c r="V33" s="8"/>
      <c r="W33" s="8"/>
      <c r="X33" s="8" t="s">
        <v>386</v>
      </c>
      <c r="Y33" s="8"/>
      <c r="Z33" s="8"/>
      <c r="AA33" s="8" t="s">
        <v>386</v>
      </c>
      <c r="AB33" s="8"/>
      <c r="AC33" s="8"/>
      <c r="AD33" s="8" t="s">
        <v>386</v>
      </c>
      <c r="AE33" s="8"/>
      <c r="AF33" s="8"/>
      <c r="AG33" s="8" t="s">
        <v>386</v>
      </c>
      <c r="AH33" s="8"/>
      <c r="AI33" s="8"/>
      <c r="AJ33" s="8" t="s">
        <v>386</v>
      </c>
      <c r="AK33" s="8"/>
      <c r="AL33" s="8"/>
      <c r="AM33" s="8" t="s">
        <v>386</v>
      </c>
      <c r="AN33" s="8"/>
      <c r="AO33" s="8"/>
    </row>
    <row r="34" spans="1:41" ht="25.05" customHeight="1" x14ac:dyDescent="0.3">
      <c r="A34" s="5">
        <v>29</v>
      </c>
      <c r="B34" s="5" t="s">
        <v>394</v>
      </c>
      <c r="C34" s="5" t="s">
        <v>154</v>
      </c>
      <c r="D34" s="6" t="s">
        <v>519</v>
      </c>
      <c r="E34" s="5" t="s">
        <v>448</v>
      </c>
      <c r="F34" s="11" t="s">
        <v>386</v>
      </c>
      <c r="G34" s="11"/>
      <c r="H34" s="11"/>
      <c r="I34" s="11" t="s">
        <v>386</v>
      </c>
      <c r="J34" s="11"/>
      <c r="K34" s="11"/>
      <c r="L34" s="11" t="s">
        <v>386</v>
      </c>
      <c r="M34" s="11"/>
      <c r="N34" s="11"/>
      <c r="O34" s="11" t="s">
        <v>386</v>
      </c>
      <c r="P34" s="11"/>
      <c r="Q34" s="11"/>
      <c r="R34" s="12" t="s">
        <v>384</v>
      </c>
      <c r="S34" s="13"/>
      <c r="T34" s="13"/>
      <c r="U34" s="12" t="s">
        <v>384</v>
      </c>
      <c r="V34" s="13"/>
      <c r="W34" s="13"/>
      <c r="X34" s="12" t="s">
        <v>384</v>
      </c>
      <c r="Y34" s="13"/>
      <c r="Z34" s="13"/>
      <c r="AA34" s="12" t="s">
        <v>384</v>
      </c>
      <c r="AB34" s="13"/>
      <c r="AC34" s="13"/>
      <c r="AD34" s="12" t="s">
        <v>384</v>
      </c>
      <c r="AE34" s="13"/>
      <c r="AF34" s="13"/>
      <c r="AG34" s="12" t="s">
        <v>384</v>
      </c>
      <c r="AH34" s="13"/>
      <c r="AI34" s="13"/>
      <c r="AJ34" s="12" t="s">
        <v>384</v>
      </c>
      <c r="AK34" s="13"/>
      <c r="AL34" s="13"/>
      <c r="AM34" s="12" t="s">
        <v>384</v>
      </c>
      <c r="AN34" s="13"/>
      <c r="AO34" s="13"/>
    </row>
    <row r="35" spans="1:41" ht="25.05" customHeight="1" x14ac:dyDescent="0.3">
      <c r="A35" s="9">
        <v>30</v>
      </c>
      <c r="B35" s="9" t="s">
        <v>395</v>
      </c>
      <c r="C35" s="9" t="s">
        <v>142</v>
      </c>
      <c r="D35" s="10" t="s">
        <v>523</v>
      </c>
      <c r="E35" s="9" t="s">
        <v>448</v>
      </c>
      <c r="F35" s="12" t="s">
        <v>384</v>
      </c>
      <c r="G35" s="13"/>
      <c r="H35" s="13"/>
      <c r="I35" s="12" t="s">
        <v>384</v>
      </c>
      <c r="J35" s="13"/>
      <c r="K35" s="13"/>
      <c r="L35" s="12" t="s">
        <v>384</v>
      </c>
      <c r="M35" s="13"/>
      <c r="N35" s="13"/>
      <c r="O35" s="8" t="s">
        <v>386</v>
      </c>
      <c r="P35" s="8"/>
      <c r="Q35" s="8"/>
      <c r="R35" s="8" t="s">
        <v>386</v>
      </c>
      <c r="S35" s="8"/>
      <c r="T35" s="8"/>
      <c r="U35" s="8" t="s">
        <v>386</v>
      </c>
      <c r="V35" s="8"/>
      <c r="W35" s="8"/>
      <c r="X35" s="8" t="s">
        <v>386</v>
      </c>
      <c r="Y35" s="8"/>
      <c r="Z35" s="8"/>
      <c r="AA35" s="8" t="s">
        <v>386</v>
      </c>
      <c r="AB35" s="8"/>
      <c r="AC35" s="8"/>
      <c r="AD35" s="8" t="s">
        <v>386</v>
      </c>
      <c r="AE35" s="8"/>
      <c r="AF35" s="8"/>
      <c r="AG35" s="8" t="s">
        <v>386</v>
      </c>
      <c r="AH35" s="8"/>
      <c r="AI35" s="8"/>
      <c r="AJ35" s="8" t="s">
        <v>386</v>
      </c>
      <c r="AK35" s="8"/>
      <c r="AL35" s="8"/>
      <c r="AM35" s="8" t="s">
        <v>386</v>
      </c>
      <c r="AN35" s="8"/>
      <c r="AO35" s="8"/>
    </row>
    <row r="36" spans="1:41" ht="25.05" customHeight="1" x14ac:dyDescent="0.3">
      <c r="A36" s="5">
        <v>31</v>
      </c>
      <c r="B36" s="5" t="s">
        <v>395</v>
      </c>
      <c r="C36" s="5" t="s">
        <v>147</v>
      </c>
      <c r="D36" s="6" t="s">
        <v>525</v>
      </c>
      <c r="E36" s="5" t="s">
        <v>448</v>
      </c>
      <c r="F36" s="12" t="s">
        <v>384</v>
      </c>
      <c r="G36" s="13"/>
      <c r="H36" s="13"/>
      <c r="I36" s="12" t="s">
        <v>384</v>
      </c>
      <c r="J36" s="13"/>
      <c r="K36" s="13"/>
      <c r="L36" s="12" t="s">
        <v>384</v>
      </c>
      <c r="M36" s="13"/>
      <c r="N36" s="13"/>
      <c r="O36" s="12" t="s">
        <v>384</v>
      </c>
      <c r="P36" s="13"/>
      <c r="Q36" s="13"/>
      <c r="R36" s="12" t="s">
        <v>384</v>
      </c>
      <c r="S36" s="13"/>
      <c r="T36" s="13"/>
      <c r="U36" s="12" t="s">
        <v>384</v>
      </c>
      <c r="V36" s="13"/>
      <c r="W36" s="13"/>
      <c r="X36" s="12" t="s">
        <v>384</v>
      </c>
      <c r="Y36" s="13"/>
      <c r="Z36" s="13"/>
      <c r="AA36" s="12" t="s">
        <v>384</v>
      </c>
      <c r="AB36" s="13"/>
      <c r="AC36" s="13"/>
      <c r="AD36" s="12" t="s">
        <v>384</v>
      </c>
      <c r="AE36" s="13"/>
      <c r="AF36" s="13"/>
      <c r="AG36" s="12" t="s">
        <v>384</v>
      </c>
      <c r="AH36" s="13"/>
      <c r="AI36" s="13"/>
      <c r="AJ36" s="11" t="s">
        <v>386</v>
      </c>
      <c r="AK36" s="11"/>
      <c r="AL36" s="11"/>
      <c r="AM36" s="11" t="s">
        <v>386</v>
      </c>
      <c r="AN36" s="11"/>
      <c r="AO36" s="11"/>
    </row>
    <row r="37" spans="1:41" ht="25.05" customHeight="1" x14ac:dyDescent="0.3">
      <c r="A37" s="9">
        <v>32</v>
      </c>
      <c r="B37" s="9" t="s">
        <v>395</v>
      </c>
      <c r="C37" s="9" t="s">
        <v>151</v>
      </c>
      <c r="D37" s="10" t="s">
        <v>527</v>
      </c>
      <c r="E37" s="9" t="s">
        <v>448</v>
      </c>
      <c r="F37" s="12" t="s">
        <v>384</v>
      </c>
      <c r="G37" s="13"/>
      <c r="H37" s="13"/>
      <c r="I37" s="12" t="s">
        <v>384</v>
      </c>
      <c r="J37" s="13"/>
      <c r="K37" s="13"/>
      <c r="L37" s="12" t="s">
        <v>384</v>
      </c>
      <c r="M37" s="13"/>
      <c r="N37" s="13"/>
      <c r="O37" s="12" t="s">
        <v>384</v>
      </c>
      <c r="P37" s="13"/>
      <c r="Q37" s="13"/>
      <c r="R37" s="12" t="s">
        <v>384</v>
      </c>
      <c r="S37" s="13"/>
      <c r="T37" s="13"/>
      <c r="U37" s="12" t="s">
        <v>384</v>
      </c>
      <c r="V37" s="13"/>
      <c r="W37" s="13"/>
      <c r="X37" s="12" t="s">
        <v>384</v>
      </c>
      <c r="Y37" s="13"/>
      <c r="Z37" s="13"/>
      <c r="AA37" s="12" t="s">
        <v>384</v>
      </c>
      <c r="AB37" s="13"/>
      <c r="AC37" s="13"/>
      <c r="AD37" s="12" t="s">
        <v>384</v>
      </c>
      <c r="AE37" s="13"/>
      <c r="AF37" s="13"/>
      <c r="AG37" s="12" t="s">
        <v>384</v>
      </c>
      <c r="AH37" s="13"/>
      <c r="AI37" s="13"/>
      <c r="AJ37" s="8" t="s">
        <v>386</v>
      </c>
      <c r="AK37" s="8"/>
      <c r="AL37" s="8"/>
      <c r="AM37" s="8" t="s">
        <v>386</v>
      </c>
      <c r="AN37" s="8"/>
      <c r="AO37" s="8"/>
    </row>
    <row r="38" spans="1:41" ht="25.05" customHeight="1" x14ac:dyDescent="0.3">
      <c r="A38" s="5">
        <v>33</v>
      </c>
      <c r="B38" s="5" t="s">
        <v>396</v>
      </c>
      <c r="C38" s="5" t="s">
        <v>142</v>
      </c>
      <c r="D38" s="6" t="s">
        <v>532</v>
      </c>
      <c r="E38" s="5" t="s">
        <v>534</v>
      </c>
      <c r="F38" s="11" t="s">
        <v>386</v>
      </c>
      <c r="G38" s="11"/>
      <c r="H38" s="11"/>
      <c r="I38" s="11" t="s">
        <v>386</v>
      </c>
      <c r="J38" s="11"/>
      <c r="K38" s="11"/>
      <c r="L38" s="12" t="s">
        <v>384</v>
      </c>
      <c r="M38" s="13"/>
      <c r="N38" s="13"/>
      <c r="O38" s="12" t="s">
        <v>384</v>
      </c>
      <c r="P38" s="13"/>
      <c r="Q38" s="13"/>
      <c r="R38" s="11" t="s">
        <v>386</v>
      </c>
      <c r="S38" s="11"/>
      <c r="T38" s="11"/>
      <c r="U38" s="11" t="s">
        <v>386</v>
      </c>
      <c r="V38" s="11"/>
      <c r="W38" s="11"/>
      <c r="X38" s="11" t="s">
        <v>386</v>
      </c>
      <c r="Y38" s="11"/>
      <c r="Z38" s="11"/>
      <c r="AA38" s="11" t="s">
        <v>386</v>
      </c>
      <c r="AB38" s="11"/>
      <c r="AC38" s="11"/>
      <c r="AD38" s="11" t="s">
        <v>386</v>
      </c>
      <c r="AE38" s="11"/>
      <c r="AF38" s="11"/>
      <c r="AG38" s="11" t="s">
        <v>386</v>
      </c>
      <c r="AH38" s="11"/>
      <c r="AI38" s="11"/>
      <c r="AJ38" s="11" t="s">
        <v>386</v>
      </c>
      <c r="AK38" s="11"/>
      <c r="AL38" s="11"/>
      <c r="AM38" s="11" t="s">
        <v>386</v>
      </c>
      <c r="AN38" s="11"/>
      <c r="AO38" s="11"/>
    </row>
    <row r="39" spans="1:41" ht="25.05" customHeight="1" x14ac:dyDescent="0.3">
      <c r="A39" s="9">
        <v>34</v>
      </c>
      <c r="B39" s="9" t="s">
        <v>396</v>
      </c>
      <c r="C39" s="9" t="s">
        <v>147</v>
      </c>
      <c r="D39" s="10" t="s">
        <v>535</v>
      </c>
      <c r="E39" s="9" t="s">
        <v>534</v>
      </c>
      <c r="F39" s="8" t="s">
        <v>386</v>
      </c>
      <c r="G39" s="8"/>
      <c r="H39" s="8"/>
      <c r="I39" s="8" t="s">
        <v>386</v>
      </c>
      <c r="J39" s="8"/>
      <c r="K39" s="8"/>
      <c r="L39" s="12" t="s">
        <v>384</v>
      </c>
      <c r="M39" s="13"/>
      <c r="N39" s="13"/>
      <c r="O39" s="12" t="s">
        <v>384</v>
      </c>
      <c r="P39" s="13"/>
      <c r="Q39" s="13"/>
      <c r="R39" s="8" t="s">
        <v>386</v>
      </c>
      <c r="S39" s="8"/>
      <c r="T39" s="8"/>
      <c r="U39" s="8" t="s">
        <v>386</v>
      </c>
      <c r="V39" s="8"/>
      <c r="W39" s="8"/>
      <c r="X39" s="8" t="s">
        <v>386</v>
      </c>
      <c r="Y39" s="8"/>
      <c r="Z39" s="8"/>
      <c r="AA39" s="12" t="s">
        <v>384</v>
      </c>
      <c r="AB39" s="13"/>
      <c r="AC39" s="13"/>
      <c r="AD39" s="12" t="s">
        <v>384</v>
      </c>
      <c r="AE39" s="13"/>
      <c r="AF39" s="13"/>
      <c r="AG39" s="8" t="s">
        <v>386</v>
      </c>
      <c r="AH39" s="8"/>
      <c r="AI39" s="8"/>
      <c r="AJ39" s="8" t="s">
        <v>386</v>
      </c>
      <c r="AK39" s="8"/>
      <c r="AL39" s="8"/>
      <c r="AM39" s="8" t="s">
        <v>386</v>
      </c>
      <c r="AN39" s="8"/>
      <c r="AO39" s="8"/>
    </row>
    <row r="40" spans="1:41" ht="25.05" customHeight="1" x14ac:dyDescent="0.3">
      <c r="A40" s="5">
        <v>35</v>
      </c>
      <c r="B40" s="5" t="s">
        <v>396</v>
      </c>
      <c r="C40" s="5" t="s">
        <v>151</v>
      </c>
      <c r="D40" s="6" t="s">
        <v>537</v>
      </c>
      <c r="E40" s="5" t="s">
        <v>539</v>
      </c>
      <c r="F40" s="11" t="s">
        <v>386</v>
      </c>
      <c r="G40" s="11"/>
      <c r="H40" s="11"/>
      <c r="I40" s="11" t="s">
        <v>386</v>
      </c>
      <c r="J40" s="11"/>
      <c r="K40" s="11"/>
      <c r="L40" s="11" t="s">
        <v>386</v>
      </c>
      <c r="M40" s="11"/>
      <c r="N40" s="11"/>
      <c r="O40" s="11" t="s">
        <v>386</v>
      </c>
      <c r="P40" s="11"/>
      <c r="Q40" s="11"/>
      <c r="R40" s="12" t="s">
        <v>384</v>
      </c>
      <c r="S40" s="13"/>
      <c r="T40" s="13"/>
      <c r="U40" s="12" t="s">
        <v>384</v>
      </c>
      <c r="V40" s="13"/>
      <c r="W40" s="13"/>
      <c r="X40" s="11" t="s">
        <v>386</v>
      </c>
      <c r="Y40" s="11"/>
      <c r="Z40" s="11"/>
      <c r="AA40" s="11" t="s">
        <v>386</v>
      </c>
      <c r="AB40" s="11"/>
      <c r="AC40" s="11"/>
      <c r="AD40" s="11" t="s">
        <v>386</v>
      </c>
      <c r="AE40" s="11"/>
      <c r="AF40" s="11"/>
      <c r="AG40" s="12" t="s">
        <v>384</v>
      </c>
      <c r="AH40" s="13"/>
      <c r="AI40" s="13"/>
      <c r="AJ40" s="12" t="s">
        <v>384</v>
      </c>
      <c r="AK40" s="13"/>
      <c r="AL40" s="13"/>
      <c r="AM40" s="11" t="s">
        <v>386</v>
      </c>
      <c r="AN40" s="11"/>
      <c r="AO40" s="11"/>
    </row>
    <row r="41" spans="1:41" ht="25.05" customHeight="1" x14ac:dyDescent="0.3">
      <c r="A41" s="9">
        <v>36</v>
      </c>
      <c r="B41" s="9" t="s">
        <v>580</v>
      </c>
      <c r="C41" s="9" t="s">
        <v>142</v>
      </c>
      <c r="D41" s="10" t="s">
        <v>542</v>
      </c>
      <c r="E41" s="9" t="s">
        <v>448</v>
      </c>
      <c r="F41" s="8" t="s">
        <v>386</v>
      </c>
      <c r="G41" s="8"/>
      <c r="H41" s="8"/>
      <c r="I41" s="8" t="s">
        <v>386</v>
      </c>
      <c r="J41" s="8"/>
      <c r="K41" s="8"/>
      <c r="L41" s="8" t="s">
        <v>386</v>
      </c>
      <c r="M41" s="8"/>
      <c r="N41" s="8"/>
      <c r="O41" s="8" t="s">
        <v>386</v>
      </c>
      <c r="P41" s="8"/>
      <c r="Q41" s="8"/>
      <c r="R41" s="8" t="s">
        <v>386</v>
      </c>
      <c r="S41" s="8"/>
      <c r="T41" s="8"/>
      <c r="U41" s="8" t="s">
        <v>386</v>
      </c>
      <c r="V41" s="8"/>
      <c r="W41" s="8"/>
      <c r="X41" s="8" t="s">
        <v>386</v>
      </c>
      <c r="Y41" s="8"/>
      <c r="Z41" s="8"/>
      <c r="AA41" s="12" t="s">
        <v>384</v>
      </c>
      <c r="AB41" s="13"/>
      <c r="AC41" s="13"/>
      <c r="AD41" s="8" t="s">
        <v>386</v>
      </c>
      <c r="AE41" s="8"/>
      <c r="AF41" s="8"/>
      <c r="AG41" s="8" t="s">
        <v>386</v>
      </c>
      <c r="AH41" s="8"/>
      <c r="AI41" s="8"/>
      <c r="AJ41" s="8" t="s">
        <v>386</v>
      </c>
      <c r="AK41" s="8"/>
      <c r="AL41" s="8"/>
      <c r="AM41" s="8" t="s">
        <v>386</v>
      </c>
      <c r="AN41" s="8"/>
      <c r="AO41" s="8"/>
    </row>
    <row r="42" spans="1:41" ht="25.05" customHeight="1" x14ac:dyDescent="0.3">
      <c r="A42" s="5">
        <v>37</v>
      </c>
      <c r="B42" s="5" t="s">
        <v>580</v>
      </c>
      <c r="C42" s="5" t="s">
        <v>147</v>
      </c>
      <c r="D42" s="6" t="s">
        <v>544</v>
      </c>
      <c r="E42" s="5" t="s">
        <v>448</v>
      </c>
      <c r="F42" s="11" t="s">
        <v>386</v>
      </c>
      <c r="G42" s="11"/>
      <c r="H42" s="11"/>
      <c r="I42" s="11" t="s">
        <v>386</v>
      </c>
      <c r="J42" s="11"/>
      <c r="K42" s="11"/>
      <c r="L42" s="11" t="s">
        <v>386</v>
      </c>
      <c r="M42" s="11"/>
      <c r="N42" s="11"/>
      <c r="O42" s="11" t="s">
        <v>386</v>
      </c>
      <c r="P42" s="11"/>
      <c r="Q42" s="11"/>
      <c r="R42" s="11" t="s">
        <v>386</v>
      </c>
      <c r="S42" s="11"/>
      <c r="T42" s="11"/>
      <c r="U42" s="11" t="s">
        <v>386</v>
      </c>
      <c r="V42" s="11"/>
      <c r="W42" s="11"/>
      <c r="X42" s="11" t="s">
        <v>386</v>
      </c>
      <c r="Y42" s="11"/>
      <c r="Z42" s="11"/>
      <c r="AA42" s="12" t="s">
        <v>384</v>
      </c>
      <c r="AB42" s="13"/>
      <c r="AC42" s="13"/>
      <c r="AD42" s="12" t="s">
        <v>384</v>
      </c>
      <c r="AE42" s="13"/>
      <c r="AF42" s="13"/>
      <c r="AG42" s="12" t="s">
        <v>384</v>
      </c>
      <c r="AH42" s="13"/>
      <c r="AI42" s="13"/>
      <c r="AJ42" s="11" t="s">
        <v>386</v>
      </c>
      <c r="AK42" s="11"/>
      <c r="AL42" s="11"/>
      <c r="AM42" s="11" t="s">
        <v>386</v>
      </c>
      <c r="AN42" s="11"/>
      <c r="AO42" s="11"/>
    </row>
    <row r="43" spans="1:41" ht="25.05" customHeight="1" x14ac:dyDescent="0.3">
      <c r="A43" s="9">
        <v>38</v>
      </c>
      <c r="B43" s="9" t="s">
        <v>580</v>
      </c>
      <c r="C43" s="9" t="s">
        <v>151</v>
      </c>
      <c r="D43" s="10" t="s">
        <v>546</v>
      </c>
      <c r="E43" s="9" t="s">
        <v>547</v>
      </c>
      <c r="F43" s="8" t="s">
        <v>386</v>
      </c>
      <c r="G43" s="8"/>
      <c r="H43" s="8"/>
      <c r="I43" s="8" t="s">
        <v>386</v>
      </c>
      <c r="J43" s="8"/>
      <c r="K43" s="8"/>
      <c r="L43" s="8" t="s">
        <v>386</v>
      </c>
      <c r="M43" s="8"/>
      <c r="N43" s="8"/>
      <c r="O43" s="8" t="s">
        <v>386</v>
      </c>
      <c r="P43" s="8"/>
      <c r="Q43" s="8"/>
      <c r="R43" s="8" t="s">
        <v>386</v>
      </c>
      <c r="S43" s="8"/>
      <c r="T43" s="8"/>
      <c r="U43" s="8" t="s">
        <v>386</v>
      </c>
      <c r="V43" s="8"/>
      <c r="W43" s="8"/>
      <c r="X43" s="8" t="s">
        <v>386</v>
      </c>
      <c r="Y43" s="8"/>
      <c r="Z43" s="8"/>
      <c r="AA43" s="8" t="s">
        <v>386</v>
      </c>
      <c r="AB43" s="8"/>
      <c r="AC43" s="8"/>
      <c r="AD43" s="8" t="s">
        <v>386</v>
      </c>
      <c r="AE43" s="8"/>
      <c r="AF43" s="8"/>
      <c r="AG43" s="12" t="s">
        <v>384</v>
      </c>
      <c r="AH43" s="13"/>
      <c r="AI43" s="13"/>
      <c r="AJ43" s="12" t="s">
        <v>384</v>
      </c>
      <c r="AK43" s="13"/>
      <c r="AL43" s="13"/>
      <c r="AM43" s="8" t="s">
        <v>386</v>
      </c>
      <c r="AN43" s="8"/>
      <c r="AO43" s="8"/>
    </row>
    <row r="44" spans="1:41" ht="25.05" customHeight="1" x14ac:dyDescent="0.3">
      <c r="A44" s="5">
        <v>39</v>
      </c>
      <c r="B44" s="5" t="s">
        <v>580</v>
      </c>
      <c r="C44" s="5" t="s">
        <v>154</v>
      </c>
      <c r="D44" s="6" t="s">
        <v>548</v>
      </c>
      <c r="E44" s="5" t="s">
        <v>547</v>
      </c>
      <c r="F44" s="11" t="s">
        <v>386</v>
      </c>
      <c r="G44" s="11"/>
      <c r="H44" s="11"/>
      <c r="I44" s="11" t="s">
        <v>386</v>
      </c>
      <c r="J44" s="11"/>
      <c r="K44" s="11"/>
      <c r="L44" s="11" t="s">
        <v>386</v>
      </c>
      <c r="M44" s="11"/>
      <c r="N44" s="11"/>
      <c r="O44" s="11" t="s">
        <v>386</v>
      </c>
      <c r="P44" s="11"/>
      <c r="Q44" s="11"/>
      <c r="R44" s="11" t="s">
        <v>386</v>
      </c>
      <c r="S44" s="11"/>
      <c r="T44" s="11"/>
      <c r="U44" s="11" t="s">
        <v>386</v>
      </c>
      <c r="V44" s="11"/>
      <c r="W44" s="11"/>
      <c r="X44" s="11" t="s">
        <v>386</v>
      </c>
      <c r="Y44" s="11"/>
      <c r="Z44" s="11"/>
      <c r="AA44" s="11" t="s">
        <v>386</v>
      </c>
      <c r="AB44" s="11"/>
      <c r="AC44" s="11"/>
      <c r="AD44" s="11" t="s">
        <v>386</v>
      </c>
      <c r="AE44" s="11"/>
      <c r="AF44" s="11"/>
      <c r="AG44" s="11" t="s">
        <v>386</v>
      </c>
      <c r="AH44" s="11"/>
      <c r="AI44" s="11"/>
      <c r="AJ44" s="12" t="s">
        <v>384</v>
      </c>
      <c r="AK44" s="13"/>
      <c r="AL44" s="13"/>
      <c r="AM44" s="12" t="s">
        <v>384</v>
      </c>
      <c r="AN44" s="13"/>
      <c r="AO44" s="13"/>
    </row>
    <row r="45" spans="1:41" ht="25.05" customHeight="1" x14ac:dyDescent="0.3">
      <c r="A45" s="9">
        <v>40</v>
      </c>
      <c r="B45" s="9" t="s">
        <v>581</v>
      </c>
      <c r="C45" s="9" t="s">
        <v>142</v>
      </c>
      <c r="D45" s="10" t="s">
        <v>551</v>
      </c>
      <c r="E45" s="9" t="s">
        <v>461</v>
      </c>
      <c r="F45" s="8" t="s">
        <v>386</v>
      </c>
      <c r="G45" s="8"/>
      <c r="H45" s="8"/>
      <c r="I45" s="8" t="s">
        <v>386</v>
      </c>
      <c r="J45" s="8"/>
      <c r="K45" s="8"/>
      <c r="L45" s="8" t="s">
        <v>386</v>
      </c>
      <c r="M45" s="8"/>
      <c r="N45" s="8"/>
      <c r="O45" s="8" t="s">
        <v>386</v>
      </c>
      <c r="P45" s="8"/>
      <c r="Q45" s="8"/>
      <c r="R45" s="8" t="s">
        <v>386</v>
      </c>
      <c r="S45" s="8"/>
      <c r="T45" s="8"/>
      <c r="U45" s="8" t="s">
        <v>386</v>
      </c>
      <c r="V45" s="8"/>
      <c r="W45" s="8"/>
      <c r="X45" s="8" t="s">
        <v>386</v>
      </c>
      <c r="Y45" s="8"/>
      <c r="Z45" s="8"/>
      <c r="AA45" s="12" t="s">
        <v>384</v>
      </c>
      <c r="AB45" s="13"/>
      <c r="AC45" s="13"/>
      <c r="AD45" s="8" t="s">
        <v>386</v>
      </c>
      <c r="AE45" s="8"/>
      <c r="AF45" s="8"/>
      <c r="AG45" s="8" t="s">
        <v>386</v>
      </c>
      <c r="AH45" s="8"/>
      <c r="AI45" s="8"/>
      <c r="AJ45" s="8" t="s">
        <v>386</v>
      </c>
      <c r="AK45" s="8"/>
      <c r="AL45" s="8"/>
      <c r="AM45" s="8" t="s">
        <v>386</v>
      </c>
      <c r="AN45" s="8"/>
      <c r="AO45" s="8"/>
    </row>
    <row r="46" spans="1:41" ht="25.05" customHeight="1" x14ac:dyDescent="0.3">
      <c r="A46" s="5">
        <v>41</v>
      </c>
      <c r="B46" s="5" t="s">
        <v>581</v>
      </c>
      <c r="C46" s="5" t="s">
        <v>147</v>
      </c>
      <c r="D46" s="6" t="s">
        <v>553</v>
      </c>
      <c r="E46" s="5" t="s">
        <v>461</v>
      </c>
      <c r="F46" s="11" t="s">
        <v>386</v>
      </c>
      <c r="G46" s="11"/>
      <c r="H46" s="11"/>
      <c r="I46" s="11" t="s">
        <v>386</v>
      </c>
      <c r="J46" s="11"/>
      <c r="K46" s="11"/>
      <c r="L46" s="11" t="s">
        <v>386</v>
      </c>
      <c r="M46" s="11"/>
      <c r="N46" s="11"/>
      <c r="O46" s="11" t="s">
        <v>386</v>
      </c>
      <c r="P46" s="11"/>
      <c r="Q46" s="11"/>
      <c r="R46" s="11" t="s">
        <v>386</v>
      </c>
      <c r="S46" s="11"/>
      <c r="T46" s="11"/>
      <c r="U46" s="11" t="s">
        <v>386</v>
      </c>
      <c r="V46" s="11"/>
      <c r="W46" s="11"/>
      <c r="X46" s="11" t="s">
        <v>386</v>
      </c>
      <c r="Y46" s="11"/>
      <c r="Z46" s="11"/>
      <c r="AA46" s="12" t="s">
        <v>384</v>
      </c>
      <c r="AB46" s="13"/>
      <c r="AC46" s="13"/>
      <c r="AD46" s="12" t="s">
        <v>384</v>
      </c>
      <c r="AE46" s="13"/>
      <c r="AF46" s="13"/>
      <c r="AG46" s="12" t="s">
        <v>384</v>
      </c>
      <c r="AH46" s="13"/>
      <c r="AI46" s="13"/>
      <c r="AJ46" s="11" t="s">
        <v>386</v>
      </c>
      <c r="AK46" s="11"/>
      <c r="AL46" s="11"/>
      <c r="AM46" s="11" t="s">
        <v>386</v>
      </c>
      <c r="AN46" s="11"/>
      <c r="AO46" s="11"/>
    </row>
    <row r="47" spans="1:41" ht="25.05" customHeight="1" x14ac:dyDescent="0.3">
      <c r="A47" s="9">
        <v>42</v>
      </c>
      <c r="B47" s="9" t="s">
        <v>581</v>
      </c>
      <c r="C47" s="9" t="s">
        <v>151</v>
      </c>
      <c r="D47" s="10" t="s">
        <v>555</v>
      </c>
      <c r="E47" s="9" t="s">
        <v>461</v>
      </c>
      <c r="F47" s="8" t="s">
        <v>386</v>
      </c>
      <c r="G47" s="8"/>
      <c r="H47" s="8"/>
      <c r="I47" s="8" t="s">
        <v>386</v>
      </c>
      <c r="J47" s="8"/>
      <c r="K47" s="8"/>
      <c r="L47" s="8" t="s">
        <v>386</v>
      </c>
      <c r="M47" s="8"/>
      <c r="N47" s="8"/>
      <c r="O47" s="8" t="s">
        <v>386</v>
      </c>
      <c r="P47" s="8"/>
      <c r="Q47" s="8"/>
      <c r="R47" s="8" t="s">
        <v>386</v>
      </c>
      <c r="S47" s="8"/>
      <c r="T47" s="8"/>
      <c r="U47" s="8" t="s">
        <v>386</v>
      </c>
      <c r="V47" s="8"/>
      <c r="W47" s="8"/>
      <c r="X47" s="8" t="s">
        <v>386</v>
      </c>
      <c r="Y47" s="8"/>
      <c r="Z47" s="8"/>
      <c r="AA47" s="8" t="s">
        <v>386</v>
      </c>
      <c r="AB47" s="8"/>
      <c r="AC47" s="8"/>
      <c r="AD47" s="8" t="s">
        <v>386</v>
      </c>
      <c r="AE47" s="8"/>
      <c r="AF47" s="8"/>
      <c r="AG47" s="12" t="s">
        <v>384</v>
      </c>
      <c r="AH47" s="13"/>
      <c r="AI47" s="13"/>
      <c r="AJ47" s="12" t="s">
        <v>384</v>
      </c>
      <c r="AK47" s="13"/>
      <c r="AL47" s="13"/>
      <c r="AM47" s="8" t="s">
        <v>386</v>
      </c>
      <c r="AN47" s="8"/>
      <c r="AO47" s="8"/>
    </row>
    <row r="48" spans="1:41" ht="25.05" customHeight="1" x14ac:dyDescent="0.3">
      <c r="A48" s="5">
        <v>43</v>
      </c>
      <c r="B48" s="5" t="s">
        <v>581</v>
      </c>
      <c r="C48" s="5" t="s">
        <v>154</v>
      </c>
      <c r="D48" s="6" t="s">
        <v>557</v>
      </c>
      <c r="E48" s="5" t="s">
        <v>448</v>
      </c>
      <c r="F48" s="11" t="s">
        <v>386</v>
      </c>
      <c r="G48" s="11"/>
      <c r="H48" s="11"/>
      <c r="I48" s="11" t="s">
        <v>386</v>
      </c>
      <c r="J48" s="11"/>
      <c r="K48" s="11"/>
      <c r="L48" s="11" t="s">
        <v>386</v>
      </c>
      <c r="M48" s="11"/>
      <c r="N48" s="11"/>
      <c r="O48" s="11" t="s">
        <v>386</v>
      </c>
      <c r="P48" s="11"/>
      <c r="Q48" s="11"/>
      <c r="R48" s="11" t="s">
        <v>386</v>
      </c>
      <c r="S48" s="11"/>
      <c r="T48" s="11"/>
      <c r="U48" s="11" t="s">
        <v>386</v>
      </c>
      <c r="V48" s="11"/>
      <c r="W48" s="11"/>
      <c r="X48" s="11" t="s">
        <v>386</v>
      </c>
      <c r="Y48" s="11"/>
      <c r="Z48" s="11"/>
      <c r="AA48" s="11" t="s">
        <v>386</v>
      </c>
      <c r="AB48" s="11"/>
      <c r="AC48" s="11"/>
      <c r="AD48" s="11" t="s">
        <v>386</v>
      </c>
      <c r="AE48" s="11"/>
      <c r="AF48" s="11"/>
      <c r="AG48" s="11" t="s">
        <v>386</v>
      </c>
      <c r="AH48" s="11"/>
      <c r="AI48" s="11"/>
      <c r="AJ48" s="12" t="s">
        <v>384</v>
      </c>
      <c r="AK48" s="13"/>
      <c r="AL48" s="13"/>
      <c r="AM48" s="12" t="s">
        <v>384</v>
      </c>
      <c r="AN48" s="13"/>
      <c r="AO48" s="13"/>
    </row>
    <row r="49" spans="1:41" ht="25.05" customHeight="1" x14ac:dyDescent="0.3">
      <c r="A49" s="9">
        <v>44</v>
      </c>
      <c r="B49" s="9" t="s">
        <v>397</v>
      </c>
      <c r="C49" s="9" t="s">
        <v>142</v>
      </c>
      <c r="D49" s="10" t="s">
        <v>562</v>
      </c>
      <c r="E49" s="9" t="s">
        <v>448</v>
      </c>
      <c r="F49" s="8" t="s">
        <v>386</v>
      </c>
      <c r="G49" s="8"/>
      <c r="H49" s="8"/>
      <c r="I49" s="8" t="s">
        <v>386</v>
      </c>
      <c r="J49" s="8"/>
      <c r="K49" s="8"/>
      <c r="L49" s="8" t="s">
        <v>386</v>
      </c>
      <c r="M49" s="8"/>
      <c r="N49" s="8"/>
      <c r="O49" s="12" t="s">
        <v>384</v>
      </c>
      <c r="P49" s="13"/>
      <c r="Q49" s="13"/>
      <c r="R49" s="12" t="s">
        <v>384</v>
      </c>
      <c r="S49" s="13"/>
      <c r="T49" s="13"/>
      <c r="U49" s="12" t="s">
        <v>384</v>
      </c>
      <c r="V49" s="13"/>
      <c r="W49" s="13"/>
      <c r="X49" s="8" t="s">
        <v>386</v>
      </c>
      <c r="Y49" s="8"/>
      <c r="Z49" s="8"/>
      <c r="AA49" s="8" t="s">
        <v>386</v>
      </c>
      <c r="AB49" s="8"/>
      <c r="AC49" s="8"/>
      <c r="AD49" s="8" t="s">
        <v>386</v>
      </c>
      <c r="AE49" s="8"/>
      <c r="AF49" s="8"/>
      <c r="AG49" s="8" t="s">
        <v>386</v>
      </c>
      <c r="AH49" s="8"/>
      <c r="AI49" s="8"/>
      <c r="AJ49" s="8" t="s">
        <v>386</v>
      </c>
      <c r="AK49" s="8"/>
      <c r="AL49" s="8"/>
      <c r="AM49" s="8" t="s">
        <v>386</v>
      </c>
      <c r="AN49" s="8"/>
      <c r="AO49" s="8"/>
    </row>
    <row r="50" spans="1:41" ht="25.05" customHeight="1" x14ac:dyDescent="0.3">
      <c r="A50" s="5">
        <v>45</v>
      </c>
      <c r="B50" s="5" t="s">
        <v>397</v>
      </c>
      <c r="C50" s="5" t="s">
        <v>147</v>
      </c>
      <c r="D50" s="6" t="s">
        <v>564</v>
      </c>
      <c r="E50" s="5" t="s">
        <v>448</v>
      </c>
      <c r="F50" s="11" t="s">
        <v>386</v>
      </c>
      <c r="G50" s="11"/>
      <c r="H50" s="11"/>
      <c r="I50" s="11" t="s">
        <v>386</v>
      </c>
      <c r="J50" s="11"/>
      <c r="K50" s="11"/>
      <c r="L50" s="11" t="s">
        <v>386</v>
      </c>
      <c r="M50" s="11"/>
      <c r="N50" s="11"/>
      <c r="O50" s="12" t="s">
        <v>384</v>
      </c>
      <c r="P50" s="13"/>
      <c r="Q50" s="13"/>
      <c r="R50" s="12" t="s">
        <v>384</v>
      </c>
      <c r="S50" s="13"/>
      <c r="T50" s="13"/>
      <c r="U50" s="12" t="s">
        <v>384</v>
      </c>
      <c r="V50" s="13"/>
      <c r="W50" s="13"/>
      <c r="X50" s="11" t="s">
        <v>386</v>
      </c>
      <c r="Y50" s="11"/>
      <c r="Z50" s="11"/>
      <c r="AA50" s="11" t="s">
        <v>386</v>
      </c>
      <c r="AB50" s="11"/>
      <c r="AC50" s="11"/>
      <c r="AD50" s="11" t="s">
        <v>386</v>
      </c>
      <c r="AE50" s="11"/>
      <c r="AF50" s="11"/>
      <c r="AG50" s="11" t="s">
        <v>386</v>
      </c>
      <c r="AH50" s="11"/>
      <c r="AI50" s="11"/>
      <c r="AJ50" s="11" t="s">
        <v>386</v>
      </c>
      <c r="AK50" s="11"/>
      <c r="AL50" s="11"/>
      <c r="AM50" s="11" t="s">
        <v>386</v>
      </c>
      <c r="AN50" s="11"/>
      <c r="AO50" s="11"/>
    </row>
    <row r="51" spans="1:41" ht="25.05" customHeight="1" x14ac:dyDescent="0.3">
      <c r="A51" s="9">
        <v>46</v>
      </c>
      <c r="B51" s="9" t="s">
        <v>397</v>
      </c>
      <c r="C51" s="9" t="s">
        <v>151</v>
      </c>
      <c r="D51" s="10" t="s">
        <v>566</v>
      </c>
      <c r="E51" s="9" t="s">
        <v>448</v>
      </c>
      <c r="F51" s="8" t="s">
        <v>386</v>
      </c>
      <c r="G51" s="8"/>
      <c r="H51" s="8"/>
      <c r="I51" s="8" t="s">
        <v>386</v>
      </c>
      <c r="J51" s="8"/>
      <c r="K51" s="8"/>
      <c r="L51" s="8" t="s">
        <v>386</v>
      </c>
      <c r="M51" s="8"/>
      <c r="N51" s="8"/>
      <c r="O51" s="8" t="s">
        <v>386</v>
      </c>
      <c r="P51" s="8"/>
      <c r="Q51" s="8"/>
      <c r="R51" s="8" t="s">
        <v>386</v>
      </c>
      <c r="S51" s="8"/>
      <c r="T51" s="8"/>
      <c r="U51" s="8" t="s">
        <v>386</v>
      </c>
      <c r="V51" s="8"/>
      <c r="W51" s="8"/>
      <c r="X51" s="8" t="s">
        <v>386</v>
      </c>
      <c r="Y51" s="8"/>
      <c r="Z51" s="8"/>
      <c r="AA51" s="8" t="s">
        <v>386</v>
      </c>
      <c r="AB51" s="8"/>
      <c r="AC51" s="8"/>
      <c r="AD51" s="12" t="s">
        <v>384</v>
      </c>
      <c r="AE51" s="13"/>
      <c r="AF51" s="13"/>
      <c r="AG51" s="12" t="s">
        <v>384</v>
      </c>
      <c r="AH51" s="13"/>
      <c r="AI51" s="13"/>
      <c r="AJ51" s="8" t="s">
        <v>386</v>
      </c>
      <c r="AK51" s="8"/>
      <c r="AL51" s="8"/>
      <c r="AM51" s="8" t="s">
        <v>386</v>
      </c>
      <c r="AN51" s="8"/>
      <c r="AO51" s="8"/>
    </row>
    <row r="52" spans="1:41" ht="25.05" customHeight="1" x14ac:dyDescent="0.3">
      <c r="A52" s="5">
        <v>47</v>
      </c>
      <c r="B52" s="5" t="s">
        <v>397</v>
      </c>
      <c r="C52" s="5" t="s">
        <v>154</v>
      </c>
      <c r="D52" s="6" t="s">
        <v>282</v>
      </c>
      <c r="E52" s="5" t="s">
        <v>448</v>
      </c>
      <c r="F52" s="11" t="s">
        <v>386</v>
      </c>
      <c r="G52" s="11"/>
      <c r="H52" s="11"/>
      <c r="I52" s="11" t="s">
        <v>386</v>
      </c>
      <c r="J52" s="11"/>
      <c r="K52" s="11"/>
      <c r="L52" s="11" t="s">
        <v>386</v>
      </c>
      <c r="M52" s="11"/>
      <c r="N52" s="11"/>
      <c r="O52" s="11" t="s">
        <v>386</v>
      </c>
      <c r="P52" s="11"/>
      <c r="Q52" s="11"/>
      <c r="R52" s="11" t="s">
        <v>386</v>
      </c>
      <c r="S52" s="11"/>
      <c r="T52" s="11"/>
      <c r="U52" s="11" t="s">
        <v>386</v>
      </c>
      <c r="V52" s="11"/>
      <c r="W52" s="11"/>
      <c r="X52" s="11" t="s">
        <v>386</v>
      </c>
      <c r="Y52" s="11"/>
      <c r="Z52" s="11"/>
      <c r="AA52" s="11" t="s">
        <v>386</v>
      </c>
      <c r="AB52" s="11"/>
      <c r="AC52" s="11"/>
      <c r="AD52" s="11" t="s">
        <v>386</v>
      </c>
      <c r="AE52" s="11"/>
      <c r="AF52" s="11"/>
      <c r="AG52" s="12" t="s">
        <v>384</v>
      </c>
      <c r="AH52" s="13"/>
      <c r="AI52" s="13"/>
      <c r="AJ52" s="12" t="s">
        <v>384</v>
      </c>
      <c r="AK52" s="13"/>
      <c r="AL52" s="13"/>
      <c r="AM52" s="12" t="s">
        <v>384</v>
      </c>
      <c r="AN52" s="13"/>
      <c r="AO52" s="13"/>
    </row>
    <row r="53" spans="1:41" ht="25.05" customHeight="1" x14ac:dyDescent="0.3">
      <c r="A53" s="9">
        <v>48</v>
      </c>
      <c r="B53" s="9" t="s">
        <v>582</v>
      </c>
      <c r="C53" s="9" t="s">
        <v>142</v>
      </c>
      <c r="D53" s="10" t="s">
        <v>571</v>
      </c>
      <c r="E53" s="9" t="s">
        <v>461</v>
      </c>
      <c r="F53" s="8" t="s">
        <v>386</v>
      </c>
      <c r="G53" s="8"/>
      <c r="H53" s="8"/>
      <c r="I53" s="8" t="s">
        <v>386</v>
      </c>
      <c r="J53" s="8"/>
      <c r="K53" s="8"/>
      <c r="L53" s="8" t="s">
        <v>386</v>
      </c>
      <c r="M53" s="8"/>
      <c r="N53" s="8"/>
      <c r="O53" s="8" t="s">
        <v>386</v>
      </c>
      <c r="P53" s="8"/>
      <c r="Q53" s="8"/>
      <c r="R53" s="8" t="s">
        <v>386</v>
      </c>
      <c r="S53" s="8"/>
      <c r="T53" s="8"/>
      <c r="U53" s="8" t="s">
        <v>386</v>
      </c>
      <c r="V53" s="8"/>
      <c r="W53" s="8"/>
      <c r="X53" s="12" t="s">
        <v>384</v>
      </c>
      <c r="Y53" s="13"/>
      <c r="Z53" s="13"/>
      <c r="AA53" s="12" t="s">
        <v>384</v>
      </c>
      <c r="AB53" s="13"/>
      <c r="AC53" s="13"/>
      <c r="AD53" s="8" t="s">
        <v>386</v>
      </c>
      <c r="AE53" s="8"/>
      <c r="AF53" s="8"/>
      <c r="AG53" s="8" t="s">
        <v>386</v>
      </c>
      <c r="AH53" s="8"/>
      <c r="AI53" s="8"/>
      <c r="AJ53" s="8" t="s">
        <v>386</v>
      </c>
      <c r="AK53" s="8"/>
      <c r="AL53" s="8"/>
      <c r="AM53" s="8" t="s">
        <v>386</v>
      </c>
      <c r="AN53" s="8"/>
      <c r="AO53" s="8"/>
    </row>
    <row r="54" spans="1:41" ht="25.05" customHeight="1" x14ac:dyDescent="0.3">
      <c r="A54" s="5">
        <v>49</v>
      </c>
      <c r="B54" s="5" t="s">
        <v>582</v>
      </c>
      <c r="C54" s="5" t="s">
        <v>147</v>
      </c>
      <c r="D54" s="6" t="s">
        <v>343</v>
      </c>
      <c r="E54" s="5" t="s">
        <v>574</v>
      </c>
      <c r="F54" s="11" t="s">
        <v>386</v>
      </c>
      <c r="G54" s="11"/>
      <c r="H54" s="11"/>
      <c r="I54" s="11" t="s">
        <v>386</v>
      </c>
      <c r="J54" s="11"/>
      <c r="K54" s="11"/>
      <c r="L54" s="11" t="s">
        <v>386</v>
      </c>
      <c r="M54" s="11"/>
      <c r="N54" s="11"/>
      <c r="O54" s="11" t="s">
        <v>386</v>
      </c>
      <c r="P54" s="11"/>
      <c r="Q54" s="11"/>
      <c r="R54" s="11" t="s">
        <v>386</v>
      </c>
      <c r="S54" s="11"/>
      <c r="T54" s="11"/>
      <c r="U54" s="11" t="s">
        <v>386</v>
      </c>
      <c r="V54" s="11"/>
      <c r="W54" s="11"/>
      <c r="X54" s="11" t="s">
        <v>386</v>
      </c>
      <c r="Y54" s="11"/>
      <c r="Z54" s="11"/>
      <c r="AA54" s="12" t="s">
        <v>384</v>
      </c>
      <c r="AB54" s="13"/>
      <c r="AC54" s="13"/>
      <c r="AD54" s="12" t="s">
        <v>384</v>
      </c>
      <c r="AE54" s="13"/>
      <c r="AF54" s="13"/>
      <c r="AG54" s="11" t="s">
        <v>386</v>
      </c>
      <c r="AH54" s="11"/>
      <c r="AI54" s="11"/>
      <c r="AJ54" s="11" t="s">
        <v>386</v>
      </c>
      <c r="AK54" s="11"/>
      <c r="AL54" s="11"/>
      <c r="AM54" s="11" t="s">
        <v>386</v>
      </c>
      <c r="AN54" s="11"/>
      <c r="AO54" s="11"/>
    </row>
    <row r="55" spans="1:41" ht="25.05" customHeight="1" x14ac:dyDescent="0.3">
      <c r="A55" s="9">
        <v>50</v>
      </c>
      <c r="B55" s="9" t="s">
        <v>582</v>
      </c>
      <c r="C55" s="9" t="s">
        <v>151</v>
      </c>
      <c r="D55" s="10" t="s">
        <v>575</v>
      </c>
      <c r="E55" s="9" t="s">
        <v>574</v>
      </c>
      <c r="F55" s="8" t="s">
        <v>386</v>
      </c>
      <c r="G55" s="8"/>
      <c r="H55" s="8"/>
      <c r="I55" s="8" t="s">
        <v>386</v>
      </c>
      <c r="J55" s="8"/>
      <c r="K55" s="8"/>
      <c r="L55" s="8" t="s">
        <v>386</v>
      </c>
      <c r="M55" s="8"/>
      <c r="N55" s="8"/>
      <c r="O55" s="8" t="s">
        <v>386</v>
      </c>
      <c r="P55" s="8"/>
      <c r="Q55" s="8"/>
      <c r="R55" s="8" t="s">
        <v>386</v>
      </c>
      <c r="S55" s="8"/>
      <c r="T55" s="8"/>
      <c r="U55" s="8" t="s">
        <v>386</v>
      </c>
      <c r="V55" s="8"/>
      <c r="W55" s="8"/>
      <c r="X55" s="8" t="s">
        <v>386</v>
      </c>
      <c r="Y55" s="8"/>
      <c r="Z55" s="8"/>
      <c r="AA55" s="8" t="s">
        <v>386</v>
      </c>
      <c r="AB55" s="8"/>
      <c r="AC55" s="8"/>
      <c r="AD55" s="12" t="s">
        <v>384</v>
      </c>
      <c r="AE55" s="13"/>
      <c r="AF55" s="13"/>
      <c r="AG55" s="12" t="s">
        <v>384</v>
      </c>
      <c r="AH55" s="13"/>
      <c r="AI55" s="13"/>
      <c r="AJ55" s="8" t="s">
        <v>386</v>
      </c>
      <c r="AK55" s="8"/>
      <c r="AL55" s="8"/>
      <c r="AM55" s="8" t="s">
        <v>386</v>
      </c>
      <c r="AN55" s="8"/>
      <c r="AO55" s="8"/>
    </row>
    <row r="56" spans="1:41" ht="25.05" customHeight="1" x14ac:dyDescent="0.3">
      <c r="A56" s="5">
        <v>51</v>
      </c>
      <c r="B56" s="5" t="s">
        <v>582</v>
      </c>
      <c r="C56" s="5" t="s">
        <v>154</v>
      </c>
      <c r="D56" s="6" t="s">
        <v>577</v>
      </c>
      <c r="E56" s="5" t="s">
        <v>574</v>
      </c>
      <c r="F56" s="11" t="s">
        <v>386</v>
      </c>
      <c r="G56" s="11"/>
      <c r="H56" s="11"/>
      <c r="I56" s="11" t="s">
        <v>386</v>
      </c>
      <c r="J56" s="11"/>
      <c r="K56" s="11"/>
      <c r="L56" s="11" t="s">
        <v>386</v>
      </c>
      <c r="M56" s="11"/>
      <c r="N56" s="11"/>
      <c r="O56" s="11" t="s">
        <v>386</v>
      </c>
      <c r="P56" s="11"/>
      <c r="Q56" s="11"/>
      <c r="R56" s="11" t="s">
        <v>386</v>
      </c>
      <c r="S56" s="11"/>
      <c r="T56" s="11"/>
      <c r="U56" s="11" t="s">
        <v>386</v>
      </c>
      <c r="V56" s="11"/>
      <c r="W56" s="11"/>
      <c r="X56" s="11" t="s">
        <v>386</v>
      </c>
      <c r="Y56" s="11"/>
      <c r="Z56" s="11"/>
      <c r="AA56" s="11" t="s">
        <v>386</v>
      </c>
      <c r="AB56" s="11"/>
      <c r="AC56" s="11"/>
      <c r="AD56" s="11" t="s">
        <v>386</v>
      </c>
      <c r="AE56" s="11"/>
      <c r="AF56" s="11"/>
      <c r="AG56" s="12" t="s">
        <v>384</v>
      </c>
      <c r="AH56" s="13"/>
      <c r="AI56" s="13"/>
      <c r="AJ56" s="12" t="s">
        <v>384</v>
      </c>
      <c r="AK56" s="13"/>
      <c r="AL56" s="13"/>
      <c r="AM56" s="12" t="s">
        <v>384</v>
      </c>
      <c r="AN56" s="13"/>
      <c r="AO56" s="13"/>
    </row>
    <row r="59" spans="1:41" ht="30" customHeight="1" x14ac:dyDescent="0.3">
      <c r="A59" s="43" t="s">
        <v>414</v>
      </c>
      <c r="B59" s="43"/>
      <c r="C59" s="43"/>
      <c r="D59" s="43"/>
      <c r="E59" s="43"/>
      <c r="F59" s="33" t="s">
        <v>18</v>
      </c>
      <c r="G59" s="33"/>
      <c r="H59" s="33"/>
      <c r="I59" s="33" t="s">
        <v>19</v>
      </c>
      <c r="J59" s="33"/>
      <c r="K59" s="33"/>
      <c r="L59" s="33" t="s">
        <v>20</v>
      </c>
      <c r="M59" s="33"/>
      <c r="N59" s="33"/>
      <c r="O59" s="33" t="s">
        <v>21</v>
      </c>
      <c r="P59" s="33"/>
      <c r="Q59" s="33"/>
      <c r="R59" s="33" t="s">
        <v>22</v>
      </c>
      <c r="S59" s="33"/>
      <c r="T59" s="33"/>
      <c r="U59" s="33" t="s">
        <v>23</v>
      </c>
      <c r="V59" s="33"/>
      <c r="W59" s="33"/>
      <c r="X59" s="33" t="s">
        <v>24</v>
      </c>
      <c r="Y59" s="33"/>
      <c r="Z59" s="33"/>
      <c r="AA59" s="33" t="s">
        <v>25</v>
      </c>
      <c r="AB59" s="33"/>
      <c r="AC59" s="33"/>
      <c r="AD59" s="33" t="s">
        <v>26</v>
      </c>
      <c r="AE59" s="33"/>
      <c r="AF59" s="33"/>
      <c r="AG59" s="33" t="s">
        <v>27</v>
      </c>
      <c r="AH59" s="33"/>
      <c r="AI59" s="33"/>
      <c r="AJ59" s="33" t="s">
        <v>28</v>
      </c>
      <c r="AK59" s="33"/>
      <c r="AL59" s="33"/>
      <c r="AM59" s="33" t="s">
        <v>29</v>
      </c>
      <c r="AN59" s="33"/>
      <c r="AO59" s="33"/>
    </row>
    <row r="60" spans="1:41" x14ac:dyDescent="0.3">
      <c r="A60" s="44" t="s">
        <v>415</v>
      </c>
      <c r="B60" s="44"/>
      <c r="C60" s="44"/>
      <c r="D60" s="44"/>
      <c r="E60" s="44"/>
      <c r="F60" s="45">
        <f>COUNTIF(G6:G56,"Sí")</f>
        <v>0</v>
      </c>
      <c r="G60" s="45"/>
      <c r="H60" s="45"/>
      <c r="I60" s="45">
        <f>COUNTIF(J6:J56,"Sí")</f>
        <v>0</v>
      </c>
      <c r="J60" s="45"/>
      <c r="K60" s="45"/>
      <c r="L60" s="45">
        <f>COUNTIF(M6:M56,"Sí")</f>
        <v>0</v>
      </c>
      <c r="M60" s="45"/>
      <c r="N60" s="45"/>
      <c r="O60" s="45">
        <f>COUNTIF(P6:P56,"Sí")</f>
        <v>0</v>
      </c>
      <c r="P60" s="45"/>
      <c r="Q60" s="45"/>
      <c r="R60" s="45">
        <f>COUNTIF(S6:S56,"Sí")</f>
        <v>0</v>
      </c>
      <c r="S60" s="45"/>
      <c r="T60" s="45"/>
      <c r="U60" s="45">
        <f>COUNTIF(V6:V56,"Sí")</f>
        <v>0</v>
      </c>
      <c r="V60" s="45"/>
      <c r="W60" s="45"/>
      <c r="X60" s="45">
        <f>COUNTIF(Y6:Y56,"Sí")</f>
        <v>0</v>
      </c>
      <c r="Y60" s="45"/>
      <c r="Z60" s="45"/>
      <c r="AA60" s="45">
        <f>COUNTIF(AB6:AB56,"Sí")</f>
        <v>0</v>
      </c>
      <c r="AB60" s="45"/>
      <c r="AC60" s="45"/>
      <c r="AD60" s="45">
        <f>COUNTIF(AE6:AE56,"Sí")</f>
        <v>0</v>
      </c>
      <c r="AE60" s="45"/>
      <c r="AF60" s="45"/>
      <c r="AG60" s="45">
        <f>COUNTIF(AH6:AH56,"Sí")</f>
        <v>0</v>
      </c>
      <c r="AH60" s="45"/>
      <c r="AI60" s="45"/>
      <c r="AJ60" s="45">
        <f>COUNTIF(AK6:AK56,"Sí")</f>
        <v>0</v>
      </c>
      <c r="AK60" s="45"/>
      <c r="AL60" s="45"/>
      <c r="AM60" s="45">
        <f>COUNTIF(AN6:AN56,"Sí")</f>
        <v>0</v>
      </c>
      <c r="AN60" s="45"/>
      <c r="AO60" s="45"/>
    </row>
    <row r="61" spans="1:41" x14ac:dyDescent="0.3">
      <c r="A61" s="46" t="s">
        <v>416</v>
      </c>
      <c r="B61" s="46"/>
      <c r="C61" s="46"/>
      <c r="D61" s="46"/>
      <c r="E61" s="46"/>
      <c r="F61" s="45">
        <f>COUNTIF(H6:H56,"Sí")</f>
        <v>0</v>
      </c>
      <c r="G61" s="45"/>
      <c r="H61" s="45"/>
      <c r="I61" s="45">
        <f>COUNTIF(K6:K56,"Sí")</f>
        <v>0</v>
      </c>
      <c r="J61" s="45"/>
      <c r="K61" s="45"/>
      <c r="L61" s="45">
        <f>COUNTIF(N6:N56,"Sí")</f>
        <v>0</v>
      </c>
      <c r="M61" s="45"/>
      <c r="N61" s="45"/>
      <c r="O61" s="45">
        <f>COUNTIF(Q6:Q56,"Sí")</f>
        <v>0</v>
      </c>
      <c r="P61" s="45"/>
      <c r="Q61" s="45"/>
      <c r="R61" s="45">
        <f>COUNTIF(T6:T56,"Sí")</f>
        <v>0</v>
      </c>
      <c r="S61" s="45"/>
      <c r="T61" s="45"/>
      <c r="U61" s="45">
        <f>COUNTIF(W6:W56,"Sí")</f>
        <v>0</v>
      </c>
      <c r="V61" s="45"/>
      <c r="W61" s="45"/>
      <c r="X61" s="45">
        <f>COUNTIF(Z6:Z56,"Sí")</f>
        <v>0</v>
      </c>
      <c r="Y61" s="45"/>
      <c r="Z61" s="45"/>
      <c r="AA61" s="45">
        <f>COUNTIF(AC6:AC56,"Sí")</f>
        <v>0</v>
      </c>
      <c r="AB61" s="45"/>
      <c r="AC61" s="45"/>
      <c r="AD61" s="45">
        <f>COUNTIF(AF6:AF56,"Sí")</f>
        <v>0</v>
      </c>
      <c r="AE61" s="45"/>
      <c r="AF61" s="45"/>
      <c r="AG61" s="45">
        <f>COUNTIF(AI6:AI56,"Sí")</f>
        <v>0</v>
      </c>
      <c r="AH61" s="45"/>
      <c r="AI61" s="45"/>
      <c r="AJ61" s="45">
        <f>COUNTIF(AL6:AL56,"Sí")</f>
        <v>0</v>
      </c>
      <c r="AK61" s="45"/>
      <c r="AL61" s="45"/>
      <c r="AM61" s="45">
        <f>COUNTIF(AO6:AO56,"Sí")</f>
        <v>0</v>
      </c>
      <c r="AN61" s="45"/>
      <c r="AO61" s="45"/>
    </row>
    <row r="62" spans="1:41" ht="34.950000000000003" customHeight="1" x14ac:dyDescent="0.3">
      <c r="A62" s="47" t="s">
        <v>417</v>
      </c>
      <c r="B62" s="47"/>
      <c r="C62" s="47"/>
      <c r="D62" s="47"/>
      <c r="E62" s="47"/>
      <c r="F62" s="39">
        <f>IFERROR(F61/F60,0)</f>
        <v>0</v>
      </c>
      <c r="G62" s="39"/>
      <c r="H62" s="39"/>
      <c r="I62" s="39">
        <f>IFERROR(I61/I60,0)</f>
        <v>0</v>
      </c>
      <c r="J62" s="39"/>
      <c r="K62" s="39"/>
      <c r="L62" s="39">
        <f>IFERROR(L61/L60,0)</f>
        <v>0</v>
      </c>
      <c r="M62" s="39"/>
      <c r="N62" s="39"/>
      <c r="O62" s="39">
        <f>IFERROR(O61/O60,0)</f>
        <v>0</v>
      </c>
      <c r="P62" s="39"/>
      <c r="Q62" s="39"/>
      <c r="R62" s="39">
        <f>IFERROR(R61/R60,0)</f>
        <v>0</v>
      </c>
      <c r="S62" s="39"/>
      <c r="T62" s="39"/>
      <c r="U62" s="39">
        <f>IFERROR(U61/U60,0)</f>
        <v>0</v>
      </c>
      <c r="V62" s="39"/>
      <c r="W62" s="39"/>
      <c r="X62" s="39">
        <f>IFERROR(X61/X60,0)</f>
        <v>0</v>
      </c>
      <c r="Y62" s="39"/>
      <c r="Z62" s="39"/>
      <c r="AA62" s="39">
        <f>IFERROR(AA61/AA60,0)</f>
        <v>0</v>
      </c>
      <c r="AB62" s="39"/>
      <c r="AC62" s="39"/>
      <c r="AD62" s="39">
        <f>IFERROR(AD61/AD60,0)</f>
        <v>0</v>
      </c>
      <c r="AE62" s="39"/>
      <c r="AF62" s="39"/>
      <c r="AG62" s="39">
        <f>IFERROR(AG61/AG60,0)</f>
        <v>0</v>
      </c>
      <c r="AH62" s="39"/>
      <c r="AI62" s="39"/>
      <c r="AJ62" s="39">
        <f>IFERROR(AJ61/AJ60,0)</f>
        <v>0</v>
      </c>
      <c r="AK62" s="39"/>
      <c r="AL62" s="39"/>
      <c r="AM62" s="39">
        <f>IFERROR(AM61/AM60,0)</f>
        <v>0</v>
      </c>
      <c r="AN62" s="39"/>
      <c r="AO62" s="39"/>
    </row>
  </sheetData>
  <mergeCells count="67">
    <mergeCell ref="AG62:AI62"/>
    <mergeCell ref="AJ62:AL62"/>
    <mergeCell ref="AM62:AO62"/>
    <mergeCell ref="R62:T62"/>
    <mergeCell ref="U62:W62"/>
    <mergeCell ref="X62:Z62"/>
    <mergeCell ref="AA62:AC62"/>
    <mergeCell ref="AD62:AF62"/>
    <mergeCell ref="A62:E62"/>
    <mergeCell ref="F62:H62"/>
    <mergeCell ref="I62:K62"/>
    <mergeCell ref="L62:N62"/>
    <mergeCell ref="O62:Q62"/>
    <mergeCell ref="AM60:AO60"/>
    <mergeCell ref="A61:E61"/>
    <mergeCell ref="F61:H61"/>
    <mergeCell ref="I61:K61"/>
    <mergeCell ref="L61:N61"/>
    <mergeCell ref="O61:Q61"/>
    <mergeCell ref="R61:T61"/>
    <mergeCell ref="U61:W61"/>
    <mergeCell ref="X61:Z61"/>
    <mergeCell ref="AA61:AC61"/>
    <mergeCell ref="AD61:AF61"/>
    <mergeCell ref="AG61:AI61"/>
    <mergeCell ref="AJ61:AL61"/>
    <mergeCell ref="AM61:AO61"/>
    <mergeCell ref="AD59:AF59"/>
    <mergeCell ref="AG59:AI59"/>
    <mergeCell ref="AJ59:AL59"/>
    <mergeCell ref="AM59:AO59"/>
    <mergeCell ref="A60:E60"/>
    <mergeCell ref="F60:H60"/>
    <mergeCell ref="I60:K60"/>
    <mergeCell ref="L60:N60"/>
    <mergeCell ref="O60:Q60"/>
    <mergeCell ref="R60:T60"/>
    <mergeCell ref="U60:W60"/>
    <mergeCell ref="X60:Z60"/>
    <mergeCell ref="AA60:AC60"/>
    <mergeCell ref="AD60:AF60"/>
    <mergeCell ref="AG60:AI60"/>
    <mergeCell ref="AJ60:AL60"/>
    <mergeCell ref="O59:Q59"/>
    <mergeCell ref="R59:T59"/>
    <mergeCell ref="U59:W59"/>
    <mergeCell ref="X59:Z59"/>
    <mergeCell ref="AA59:AC59"/>
    <mergeCell ref="A5:E5"/>
    <mergeCell ref="A59:E59"/>
    <mergeCell ref="F59:H59"/>
    <mergeCell ref="I59:K59"/>
    <mergeCell ref="L59:N59"/>
    <mergeCell ref="A1:AO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</mergeCells>
  <conditionalFormatting sqref="F62">
    <cfRule type="cellIs" dxfId="55" priority="50" operator="lessThan">
      <formula>0.8</formula>
    </cfRule>
    <cfRule type="cellIs" dxfId="54" priority="49" operator="greaterThanOrEqual">
      <formula>0.8</formula>
    </cfRule>
  </conditionalFormatting>
  <conditionalFormatting sqref="G6:H56">
    <cfRule type="containsText" dxfId="53" priority="1" operator="containsText" text="Sí">
      <formula>NOT(ISERROR(SEARCH("Sí",G6)))</formula>
    </cfRule>
    <cfRule type="containsText" dxfId="52" priority="2" operator="containsText" text="No">
      <formula>NOT(ISERROR(SEARCH("No",G6)))</formula>
    </cfRule>
  </conditionalFormatting>
  <conditionalFormatting sqref="I62">
    <cfRule type="cellIs" dxfId="51" priority="52" operator="lessThan">
      <formula>0.8</formula>
    </cfRule>
    <cfRule type="cellIs" dxfId="50" priority="51" operator="greaterThanOrEqual">
      <formula>0.8</formula>
    </cfRule>
  </conditionalFormatting>
  <conditionalFormatting sqref="J6:K56">
    <cfRule type="containsText" dxfId="49" priority="5" operator="containsText" text="Sí">
      <formula>NOT(ISERROR(SEARCH("Sí",J6)))</formula>
    </cfRule>
    <cfRule type="containsText" dxfId="48" priority="6" operator="containsText" text="No">
      <formula>NOT(ISERROR(SEARCH("No",J6)))</formula>
    </cfRule>
  </conditionalFormatting>
  <conditionalFormatting sqref="L62">
    <cfRule type="cellIs" dxfId="47" priority="54" operator="lessThan">
      <formula>0.8</formula>
    </cfRule>
    <cfRule type="cellIs" dxfId="46" priority="53" operator="greaterThanOrEqual">
      <formula>0.8</formula>
    </cfRule>
  </conditionalFormatting>
  <conditionalFormatting sqref="M6:N56">
    <cfRule type="containsText" dxfId="45" priority="9" operator="containsText" text="Sí">
      <formula>NOT(ISERROR(SEARCH("Sí",M6)))</formula>
    </cfRule>
    <cfRule type="containsText" dxfId="44" priority="10" operator="containsText" text="No">
      <formula>NOT(ISERROR(SEARCH("No",M6)))</formula>
    </cfRule>
  </conditionalFormatting>
  <conditionalFormatting sqref="O62">
    <cfRule type="cellIs" dxfId="43" priority="56" operator="lessThan">
      <formula>0.8</formula>
    </cfRule>
    <cfRule type="cellIs" dxfId="42" priority="55" operator="greaterThanOrEqual">
      <formula>0.8</formula>
    </cfRule>
  </conditionalFormatting>
  <conditionalFormatting sqref="P6:Q56">
    <cfRule type="containsText" dxfId="41" priority="13" operator="containsText" text="Sí">
      <formula>NOT(ISERROR(SEARCH("Sí",P6)))</formula>
    </cfRule>
    <cfRule type="containsText" dxfId="40" priority="14" operator="containsText" text="No">
      <formula>NOT(ISERROR(SEARCH("No",P6)))</formula>
    </cfRule>
  </conditionalFormatting>
  <conditionalFormatting sqref="R62">
    <cfRule type="cellIs" dxfId="39" priority="58" operator="lessThan">
      <formula>0.8</formula>
    </cfRule>
    <cfRule type="cellIs" dxfId="38" priority="57" operator="greaterThanOrEqual">
      <formula>0.8</formula>
    </cfRule>
  </conditionalFormatting>
  <conditionalFormatting sqref="S6:T56">
    <cfRule type="containsText" dxfId="37" priority="17" operator="containsText" text="Sí">
      <formula>NOT(ISERROR(SEARCH("Sí",S6)))</formula>
    </cfRule>
    <cfRule type="containsText" dxfId="36" priority="18" operator="containsText" text="No">
      <formula>NOT(ISERROR(SEARCH("No",S6)))</formula>
    </cfRule>
  </conditionalFormatting>
  <conditionalFormatting sqref="U62">
    <cfRule type="cellIs" dxfId="35" priority="60" operator="lessThan">
      <formula>0.8</formula>
    </cfRule>
    <cfRule type="cellIs" dxfId="34" priority="59" operator="greaterThanOrEqual">
      <formula>0.8</formula>
    </cfRule>
  </conditionalFormatting>
  <conditionalFormatting sqref="V6:W56">
    <cfRule type="containsText" dxfId="33" priority="21" operator="containsText" text="Sí">
      <formula>NOT(ISERROR(SEARCH("Sí",V6)))</formula>
    </cfRule>
    <cfRule type="containsText" dxfId="32" priority="22" operator="containsText" text="No">
      <formula>NOT(ISERROR(SEARCH("No",V6)))</formula>
    </cfRule>
  </conditionalFormatting>
  <conditionalFormatting sqref="X62">
    <cfRule type="cellIs" dxfId="31" priority="62" operator="lessThan">
      <formula>0.8</formula>
    </cfRule>
    <cfRule type="cellIs" dxfId="30" priority="61" operator="greaterThanOrEqual">
      <formula>0.8</formula>
    </cfRule>
  </conditionalFormatting>
  <conditionalFormatting sqref="Y6:Z56">
    <cfRule type="containsText" dxfId="29" priority="25" operator="containsText" text="Sí">
      <formula>NOT(ISERROR(SEARCH("Sí",Y6)))</formula>
    </cfRule>
    <cfRule type="containsText" dxfId="28" priority="26" operator="containsText" text="No">
      <formula>NOT(ISERROR(SEARCH("No",Y6)))</formula>
    </cfRule>
  </conditionalFormatting>
  <conditionalFormatting sqref="AA62">
    <cfRule type="cellIs" dxfId="27" priority="63" operator="greaterThanOrEqual">
      <formula>0.8</formula>
    </cfRule>
    <cfRule type="cellIs" dxfId="26" priority="64" operator="lessThan">
      <formula>0.8</formula>
    </cfRule>
  </conditionalFormatting>
  <conditionalFormatting sqref="AB6:AC56">
    <cfRule type="containsText" dxfId="25" priority="29" operator="containsText" text="Sí">
      <formula>NOT(ISERROR(SEARCH("Sí",AB6)))</formula>
    </cfRule>
    <cfRule type="containsText" dxfId="24" priority="30" operator="containsText" text="No">
      <formula>NOT(ISERROR(SEARCH("No",AB6)))</formula>
    </cfRule>
  </conditionalFormatting>
  <conditionalFormatting sqref="AD62">
    <cfRule type="cellIs" dxfId="23" priority="65" operator="greaterThanOrEqual">
      <formula>0.8</formula>
    </cfRule>
    <cfRule type="cellIs" dxfId="22" priority="66" operator="lessThan">
      <formula>0.8</formula>
    </cfRule>
  </conditionalFormatting>
  <conditionalFormatting sqref="AE6:AF56">
    <cfRule type="containsText" dxfId="21" priority="33" operator="containsText" text="Sí">
      <formula>NOT(ISERROR(SEARCH("Sí",AE6)))</formula>
    </cfRule>
    <cfRule type="containsText" dxfId="20" priority="34" operator="containsText" text="No">
      <formula>NOT(ISERROR(SEARCH("No",AE6)))</formula>
    </cfRule>
  </conditionalFormatting>
  <conditionalFormatting sqref="AG62">
    <cfRule type="cellIs" dxfId="19" priority="67" operator="greaterThanOrEqual">
      <formula>0.8</formula>
    </cfRule>
    <cfRule type="cellIs" dxfId="18" priority="68" operator="lessThan">
      <formula>0.8</formula>
    </cfRule>
  </conditionalFormatting>
  <conditionalFormatting sqref="AH6:AI56">
    <cfRule type="containsText" dxfId="17" priority="38" operator="containsText" text="No">
      <formula>NOT(ISERROR(SEARCH("No",AH6)))</formula>
    </cfRule>
    <cfRule type="containsText" dxfId="16" priority="37" operator="containsText" text="Sí">
      <formula>NOT(ISERROR(SEARCH("Sí",AH6)))</formula>
    </cfRule>
  </conditionalFormatting>
  <conditionalFormatting sqref="AJ62">
    <cfRule type="cellIs" dxfId="15" priority="70" operator="lessThan">
      <formula>0.8</formula>
    </cfRule>
    <cfRule type="cellIs" dxfId="14" priority="69" operator="greaterThanOrEqual">
      <formula>0.8</formula>
    </cfRule>
  </conditionalFormatting>
  <conditionalFormatting sqref="AK6:AL56">
    <cfRule type="containsText" dxfId="13" priority="41" operator="containsText" text="Sí">
      <formula>NOT(ISERROR(SEARCH("Sí",AK6)))</formula>
    </cfRule>
    <cfRule type="containsText" dxfId="12" priority="42" operator="containsText" text="No">
      <formula>NOT(ISERROR(SEARCH("No",AK6)))</formula>
    </cfRule>
  </conditionalFormatting>
  <conditionalFormatting sqref="AM62">
    <cfRule type="cellIs" dxfId="11" priority="71" operator="greaterThanOrEqual">
      <formula>0.8</formula>
    </cfRule>
    <cfRule type="cellIs" dxfId="10" priority="72" operator="lessThan">
      <formula>0.8</formula>
    </cfRule>
  </conditionalFormatting>
  <conditionalFormatting sqref="AN6:AO56">
    <cfRule type="containsText" dxfId="9" priority="46" operator="containsText" text="No">
      <formula>NOT(ISERROR(SEARCH("No",AN6)))</formula>
    </cfRule>
    <cfRule type="containsText" dxfId="8" priority="45" operator="containsText" text="Sí">
      <formula>NOT(ISERROR(SEARCH("Sí",AN6)))</formula>
    </cfRule>
  </conditionalFormatting>
  <dataValidations count="1">
    <dataValidation type="list" allowBlank="1" showInputMessage="1" showErrorMessage="1" sqref="AN56:AO56 AK56:AL56 AH55:AI56 AE54:AF55 AB53:AC54 Y53:Z53 AN52:AO52 AK52:AL52 AH51:AI52 AE51:AF51 V49:W50 S49:T50 P49:Q50 AN48:AO48 AK47:AL48 AH46:AI47 AE46:AF46 AB45:AC46 AN44:AO44 AK43:AL44 AH42:AI43 AE42:AF42 AB41:AC42 AK40:AL40 AH40:AI40 V40:W40 S40:T40 AE39:AF39 AB39:AC39 P36:Q39 M35:N39 AH36:AI37 AE36:AF37 AB36:AC37 Y36:Z37 V36:W37 S36:T37 J35:K37 G35:H37 AN34:AO34 AK34:AL34 AH34:AI34 AE34:AF34 AB34:AC34 Y34:Z34 V34:W34 S33:T34 P31:Q33 M31:N32 AN30:AO30 AK30:AL30 AH30:AI30 AE30:AF30 AB30:AC30 Y30:Z30 V29:W30 S29:T30 P27:Q29 M27:N28 AH25:AI26 AE25:AF26 V25:W26 S25:T26 AN25:AO25 AK25:AL25 AB25:AC25 Y25:Z25 P20:Q25 M23:N25 J23:K24 G23:H24 AN22:AO22 AK22:AL22 AH22:AI22 AE21:AF22 AB21:AC22 Y21:Z22 V21:W22 S21:T22 M19:N21 J19:K20 G19:H19 AN18:AO18 AK15:AL18 S18:T18 P6:Q18 AH15:AI17 M15:N17 V14:W14 S14:T14 M11:N12 AN6:AO10 AB6:AC10 AK6:AL9 Y6:Z9 M6:N9" xr:uid="{00000000-0002-0000-0700-000000000000}">
      <formula1>"Sí,No"</formula1>
    </dataValidation>
  </dataValidations>
  <pageMargins left="0.7" right="0.7" top="0.75" bottom="0.75" header="0.3" footer="0.3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N78"/>
  <sheetViews>
    <sheetView showGridLines="0" zoomScale="85" zoomScaleNormal="85" workbookViewId="0">
      <pane ySplit="4" topLeftCell="A5" activePane="bottomLeft" state="frozen"/>
      <selection pane="bottomLeft" sqref="A1:XFD1048576"/>
    </sheetView>
  </sheetViews>
  <sheetFormatPr baseColWidth="10" defaultColWidth="8.88671875" defaultRowHeight="14.4" x14ac:dyDescent="0.3"/>
  <cols>
    <col min="1" max="1" width="5.6640625" style="65" customWidth="1"/>
    <col min="2" max="2" width="10.6640625" style="65" customWidth="1"/>
    <col min="3" max="3" width="8.6640625" style="65" customWidth="1"/>
    <col min="4" max="5" width="35.6640625" style="65" customWidth="1"/>
    <col min="6" max="7" width="14.6640625" style="65" customWidth="1"/>
    <col min="8" max="10" width="13.6640625" style="65" customWidth="1"/>
    <col min="11" max="12" width="12.6640625" style="65" customWidth="1"/>
    <col min="13" max="13" width="30.6640625" style="65" customWidth="1"/>
    <col min="14" max="14" width="25.6640625" style="65" customWidth="1"/>
    <col min="15" max="16384" width="8.88671875" style="65"/>
  </cols>
  <sheetData>
    <row r="1" spans="1:14" ht="37.950000000000003" customHeight="1" x14ac:dyDescent="0.3">
      <c r="A1" s="48" t="s">
        <v>584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8.05" customHeight="1" x14ac:dyDescent="0.3">
      <c r="A2" s="71" t="s">
        <v>419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2.05" customHeight="1" x14ac:dyDescent="0.3">
      <c r="A3" s="72" t="s">
        <v>420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1:14" ht="34.950000000000003" customHeight="1" x14ac:dyDescent="0.3">
      <c r="A4" s="20" t="s">
        <v>30</v>
      </c>
      <c r="B4" s="20" t="s">
        <v>376</v>
      </c>
      <c r="C4" s="20" t="s">
        <v>421</v>
      </c>
      <c r="D4" s="20" t="s">
        <v>422</v>
      </c>
      <c r="E4" s="20" t="s">
        <v>423</v>
      </c>
      <c r="F4" s="20" t="s">
        <v>424</v>
      </c>
      <c r="G4" s="20" t="s">
        <v>34</v>
      </c>
      <c r="H4" s="20" t="s">
        <v>425</v>
      </c>
      <c r="I4" s="20" t="s">
        <v>426</v>
      </c>
      <c r="J4" s="20" t="s">
        <v>427</v>
      </c>
      <c r="K4" s="20" t="s">
        <v>378</v>
      </c>
      <c r="L4" s="20" t="s">
        <v>428</v>
      </c>
      <c r="M4" s="20" t="s">
        <v>429</v>
      </c>
      <c r="N4" s="20" t="s">
        <v>430</v>
      </c>
    </row>
    <row r="5" spans="1:14" ht="25.05" customHeight="1" x14ac:dyDescent="0.3">
      <c r="A5" s="13">
        <v>1</v>
      </c>
      <c r="B5" s="13"/>
      <c r="C5" s="13"/>
      <c r="D5" s="10"/>
      <c r="E5" s="10"/>
      <c r="F5" s="13"/>
      <c r="G5" s="13"/>
      <c r="H5" s="21"/>
      <c r="I5" s="21"/>
      <c r="J5" s="21"/>
      <c r="K5" s="13"/>
      <c r="L5" s="13"/>
      <c r="M5" s="10"/>
      <c r="N5" s="10"/>
    </row>
    <row r="6" spans="1:14" ht="25.05" customHeight="1" x14ac:dyDescent="0.3">
      <c r="A6" s="22">
        <v>2</v>
      </c>
      <c r="B6" s="22"/>
      <c r="C6" s="22"/>
      <c r="D6" s="6"/>
      <c r="E6" s="6"/>
      <c r="F6" s="22"/>
      <c r="G6" s="22"/>
      <c r="H6" s="23"/>
      <c r="I6" s="23"/>
      <c r="J6" s="23"/>
      <c r="K6" s="22"/>
      <c r="L6" s="22"/>
      <c r="M6" s="6"/>
      <c r="N6" s="6"/>
    </row>
    <row r="7" spans="1:14" ht="25.05" customHeight="1" x14ac:dyDescent="0.3">
      <c r="A7" s="13">
        <v>3</v>
      </c>
      <c r="B7" s="13"/>
      <c r="C7" s="13"/>
      <c r="D7" s="10"/>
      <c r="E7" s="10"/>
      <c r="F7" s="13"/>
      <c r="G7" s="13"/>
      <c r="H7" s="21"/>
      <c r="I7" s="21"/>
      <c r="J7" s="21"/>
      <c r="K7" s="13"/>
      <c r="L7" s="13"/>
      <c r="M7" s="10"/>
      <c r="N7" s="10"/>
    </row>
    <row r="8" spans="1:14" ht="25.05" customHeight="1" x14ac:dyDescent="0.3">
      <c r="A8" s="22">
        <v>4</v>
      </c>
      <c r="B8" s="22"/>
      <c r="C8" s="22"/>
      <c r="D8" s="6"/>
      <c r="E8" s="6"/>
      <c r="F8" s="22"/>
      <c r="G8" s="22"/>
      <c r="H8" s="23"/>
      <c r="I8" s="23"/>
      <c r="J8" s="23"/>
      <c r="K8" s="22"/>
      <c r="L8" s="22"/>
      <c r="M8" s="6"/>
      <c r="N8" s="6"/>
    </row>
    <row r="9" spans="1:14" ht="25.05" customHeight="1" x14ac:dyDescent="0.3">
      <c r="A9" s="13">
        <v>5</v>
      </c>
      <c r="B9" s="13"/>
      <c r="C9" s="13"/>
      <c r="D9" s="10"/>
      <c r="E9" s="10"/>
      <c r="F9" s="13"/>
      <c r="G9" s="13"/>
      <c r="H9" s="21"/>
      <c r="I9" s="21"/>
      <c r="J9" s="21"/>
      <c r="K9" s="13"/>
      <c r="L9" s="13"/>
      <c r="M9" s="10"/>
      <c r="N9" s="10"/>
    </row>
    <row r="10" spans="1:14" ht="25.05" customHeight="1" x14ac:dyDescent="0.3">
      <c r="A10" s="22">
        <v>6</v>
      </c>
      <c r="B10" s="22"/>
      <c r="C10" s="22"/>
      <c r="D10" s="6"/>
      <c r="E10" s="6"/>
      <c r="F10" s="22"/>
      <c r="G10" s="22"/>
      <c r="H10" s="23"/>
      <c r="I10" s="23"/>
      <c r="J10" s="23"/>
      <c r="K10" s="22"/>
      <c r="L10" s="22"/>
      <c r="M10" s="6"/>
      <c r="N10" s="6"/>
    </row>
    <row r="11" spans="1:14" ht="25.05" customHeight="1" x14ac:dyDescent="0.3">
      <c r="A11" s="13">
        <v>7</v>
      </c>
      <c r="B11" s="13"/>
      <c r="C11" s="13"/>
      <c r="D11" s="10"/>
      <c r="E11" s="10"/>
      <c r="F11" s="13"/>
      <c r="G11" s="13"/>
      <c r="H11" s="21"/>
      <c r="I11" s="21"/>
      <c r="J11" s="21"/>
      <c r="K11" s="13"/>
      <c r="L11" s="13"/>
      <c r="M11" s="10"/>
      <c r="N11" s="10"/>
    </row>
    <row r="12" spans="1:14" ht="25.05" customHeight="1" x14ac:dyDescent="0.3">
      <c r="A12" s="22">
        <v>8</v>
      </c>
      <c r="B12" s="22"/>
      <c r="C12" s="22"/>
      <c r="D12" s="6"/>
      <c r="E12" s="6"/>
      <c r="F12" s="22"/>
      <c r="G12" s="22"/>
      <c r="H12" s="23"/>
      <c r="I12" s="23"/>
      <c r="J12" s="23"/>
      <c r="K12" s="22"/>
      <c r="L12" s="22"/>
      <c r="M12" s="6"/>
      <c r="N12" s="6"/>
    </row>
    <row r="13" spans="1:14" ht="25.05" customHeight="1" x14ac:dyDescent="0.3">
      <c r="A13" s="13">
        <v>9</v>
      </c>
      <c r="B13" s="13"/>
      <c r="C13" s="13"/>
      <c r="D13" s="10"/>
      <c r="E13" s="10"/>
      <c r="F13" s="13"/>
      <c r="G13" s="13"/>
      <c r="H13" s="21"/>
      <c r="I13" s="21"/>
      <c r="J13" s="21"/>
      <c r="K13" s="13"/>
      <c r="L13" s="13"/>
      <c r="M13" s="10"/>
      <c r="N13" s="10"/>
    </row>
    <row r="14" spans="1:14" ht="25.05" customHeight="1" x14ac:dyDescent="0.3">
      <c r="A14" s="22">
        <v>10</v>
      </c>
      <c r="B14" s="22"/>
      <c r="C14" s="22"/>
      <c r="D14" s="6"/>
      <c r="E14" s="6"/>
      <c r="F14" s="22"/>
      <c r="G14" s="22"/>
      <c r="H14" s="23"/>
      <c r="I14" s="23"/>
      <c r="J14" s="23"/>
      <c r="K14" s="22"/>
      <c r="L14" s="22"/>
      <c r="M14" s="6"/>
      <c r="N14" s="6"/>
    </row>
    <row r="15" spans="1:14" ht="25.05" customHeight="1" x14ac:dyDescent="0.3">
      <c r="A15" s="13">
        <v>11</v>
      </c>
      <c r="B15" s="13"/>
      <c r="C15" s="13"/>
      <c r="D15" s="10"/>
      <c r="E15" s="10"/>
      <c r="F15" s="13"/>
      <c r="G15" s="13"/>
      <c r="H15" s="21"/>
      <c r="I15" s="21"/>
      <c r="J15" s="21"/>
      <c r="K15" s="13"/>
      <c r="L15" s="13"/>
      <c r="M15" s="10"/>
      <c r="N15" s="10"/>
    </row>
    <row r="16" spans="1:14" ht="25.05" customHeight="1" x14ac:dyDescent="0.3">
      <c r="A16" s="22">
        <v>12</v>
      </c>
      <c r="B16" s="22"/>
      <c r="C16" s="22"/>
      <c r="D16" s="6"/>
      <c r="E16" s="6"/>
      <c r="F16" s="22"/>
      <c r="G16" s="22"/>
      <c r="H16" s="23"/>
      <c r="I16" s="23"/>
      <c r="J16" s="23"/>
      <c r="K16" s="22"/>
      <c r="L16" s="22"/>
      <c r="M16" s="6"/>
      <c r="N16" s="6"/>
    </row>
    <row r="17" spans="1:14" ht="25.05" customHeight="1" x14ac:dyDescent="0.3">
      <c r="A17" s="13">
        <v>13</v>
      </c>
      <c r="B17" s="13"/>
      <c r="C17" s="13"/>
      <c r="D17" s="10"/>
      <c r="E17" s="10"/>
      <c r="F17" s="13"/>
      <c r="G17" s="13"/>
      <c r="H17" s="21"/>
      <c r="I17" s="21"/>
      <c r="J17" s="21"/>
      <c r="K17" s="13"/>
      <c r="L17" s="13"/>
      <c r="M17" s="10"/>
      <c r="N17" s="10"/>
    </row>
    <row r="18" spans="1:14" ht="25.05" customHeight="1" x14ac:dyDescent="0.3">
      <c r="A18" s="22">
        <v>14</v>
      </c>
      <c r="B18" s="22"/>
      <c r="C18" s="22"/>
      <c r="D18" s="6"/>
      <c r="E18" s="6"/>
      <c r="F18" s="22"/>
      <c r="G18" s="22"/>
      <c r="H18" s="23"/>
      <c r="I18" s="23"/>
      <c r="J18" s="23"/>
      <c r="K18" s="22"/>
      <c r="L18" s="22"/>
      <c r="M18" s="6"/>
      <c r="N18" s="6"/>
    </row>
    <row r="19" spans="1:14" ht="25.05" customHeight="1" x14ac:dyDescent="0.3">
      <c r="A19" s="13">
        <v>15</v>
      </c>
      <c r="B19" s="13"/>
      <c r="C19" s="13"/>
      <c r="D19" s="10"/>
      <c r="E19" s="10"/>
      <c r="F19" s="13"/>
      <c r="G19" s="13"/>
      <c r="H19" s="21"/>
      <c r="I19" s="21"/>
      <c r="J19" s="21"/>
      <c r="K19" s="13"/>
      <c r="L19" s="13"/>
      <c r="M19" s="10"/>
      <c r="N19" s="10"/>
    </row>
    <row r="20" spans="1:14" ht="25.05" customHeight="1" x14ac:dyDescent="0.3">
      <c r="A20" s="22">
        <v>16</v>
      </c>
      <c r="B20" s="22"/>
      <c r="C20" s="22"/>
      <c r="D20" s="6"/>
      <c r="E20" s="6"/>
      <c r="F20" s="22"/>
      <c r="G20" s="22"/>
      <c r="H20" s="23"/>
      <c r="I20" s="23"/>
      <c r="J20" s="23"/>
      <c r="K20" s="22"/>
      <c r="L20" s="22"/>
      <c r="M20" s="6"/>
      <c r="N20" s="6"/>
    </row>
    <row r="21" spans="1:14" ht="25.05" customHeight="1" x14ac:dyDescent="0.3">
      <c r="A21" s="13">
        <v>17</v>
      </c>
      <c r="B21" s="13"/>
      <c r="C21" s="13"/>
      <c r="D21" s="10"/>
      <c r="E21" s="10"/>
      <c r="F21" s="13"/>
      <c r="G21" s="13"/>
      <c r="H21" s="21"/>
      <c r="I21" s="21"/>
      <c r="J21" s="21"/>
      <c r="K21" s="13"/>
      <c r="L21" s="13"/>
      <c r="M21" s="10"/>
      <c r="N21" s="10"/>
    </row>
    <row r="22" spans="1:14" ht="25.05" customHeight="1" x14ac:dyDescent="0.3">
      <c r="A22" s="22">
        <v>18</v>
      </c>
      <c r="B22" s="22"/>
      <c r="C22" s="22"/>
      <c r="D22" s="6"/>
      <c r="E22" s="6"/>
      <c r="F22" s="22"/>
      <c r="G22" s="22"/>
      <c r="H22" s="23"/>
      <c r="I22" s="23"/>
      <c r="J22" s="23"/>
      <c r="K22" s="22"/>
      <c r="L22" s="22"/>
      <c r="M22" s="6"/>
      <c r="N22" s="6"/>
    </row>
    <row r="23" spans="1:14" ht="25.05" customHeight="1" x14ac:dyDescent="0.3">
      <c r="A23" s="13">
        <v>19</v>
      </c>
      <c r="B23" s="13"/>
      <c r="C23" s="13"/>
      <c r="D23" s="10"/>
      <c r="E23" s="10"/>
      <c r="F23" s="13"/>
      <c r="G23" s="13"/>
      <c r="H23" s="21"/>
      <c r="I23" s="21"/>
      <c r="J23" s="21"/>
      <c r="K23" s="13"/>
      <c r="L23" s="13"/>
      <c r="M23" s="10"/>
      <c r="N23" s="10"/>
    </row>
    <row r="24" spans="1:14" ht="25.05" customHeight="1" x14ac:dyDescent="0.3">
      <c r="A24" s="22">
        <v>20</v>
      </c>
      <c r="B24" s="22"/>
      <c r="C24" s="22"/>
      <c r="D24" s="6"/>
      <c r="E24" s="6"/>
      <c r="F24" s="22"/>
      <c r="G24" s="22"/>
      <c r="H24" s="23"/>
      <c r="I24" s="23"/>
      <c r="J24" s="23"/>
      <c r="K24" s="22"/>
      <c r="L24" s="22"/>
      <c r="M24" s="6"/>
      <c r="N24" s="6"/>
    </row>
    <row r="25" spans="1:14" ht="25.05" customHeight="1" x14ac:dyDescent="0.3">
      <c r="A25" s="13">
        <v>21</v>
      </c>
      <c r="B25" s="13"/>
      <c r="C25" s="13"/>
      <c r="D25" s="10"/>
      <c r="E25" s="10"/>
      <c r="F25" s="13"/>
      <c r="G25" s="13"/>
      <c r="H25" s="21"/>
      <c r="I25" s="21"/>
      <c r="J25" s="21"/>
      <c r="K25" s="13"/>
      <c r="L25" s="13"/>
      <c r="M25" s="10"/>
      <c r="N25" s="10"/>
    </row>
    <row r="26" spans="1:14" ht="25.05" customHeight="1" x14ac:dyDescent="0.3">
      <c r="A26" s="22">
        <v>22</v>
      </c>
      <c r="B26" s="22"/>
      <c r="C26" s="22"/>
      <c r="D26" s="6"/>
      <c r="E26" s="6"/>
      <c r="F26" s="22"/>
      <c r="G26" s="22"/>
      <c r="H26" s="23"/>
      <c r="I26" s="23"/>
      <c r="J26" s="23"/>
      <c r="K26" s="22"/>
      <c r="L26" s="22"/>
      <c r="M26" s="6"/>
      <c r="N26" s="6"/>
    </row>
    <row r="27" spans="1:14" ht="25.05" customHeight="1" x14ac:dyDescent="0.3">
      <c r="A27" s="13">
        <v>23</v>
      </c>
      <c r="B27" s="13"/>
      <c r="C27" s="13"/>
      <c r="D27" s="10"/>
      <c r="E27" s="10"/>
      <c r="F27" s="13"/>
      <c r="G27" s="13"/>
      <c r="H27" s="21"/>
      <c r="I27" s="21"/>
      <c r="J27" s="21"/>
      <c r="K27" s="13"/>
      <c r="L27" s="13"/>
      <c r="M27" s="10"/>
      <c r="N27" s="10"/>
    </row>
    <row r="28" spans="1:14" ht="25.05" customHeight="1" x14ac:dyDescent="0.3">
      <c r="A28" s="22">
        <v>24</v>
      </c>
      <c r="B28" s="22"/>
      <c r="C28" s="22"/>
      <c r="D28" s="6"/>
      <c r="E28" s="6"/>
      <c r="F28" s="22"/>
      <c r="G28" s="22"/>
      <c r="H28" s="23"/>
      <c r="I28" s="23"/>
      <c r="J28" s="23"/>
      <c r="K28" s="22"/>
      <c r="L28" s="22"/>
      <c r="M28" s="6"/>
      <c r="N28" s="6"/>
    </row>
    <row r="29" spans="1:14" ht="25.05" customHeight="1" x14ac:dyDescent="0.3">
      <c r="A29" s="13">
        <v>25</v>
      </c>
      <c r="B29" s="13"/>
      <c r="C29" s="13"/>
      <c r="D29" s="10"/>
      <c r="E29" s="10"/>
      <c r="F29" s="13"/>
      <c r="G29" s="13"/>
      <c r="H29" s="21"/>
      <c r="I29" s="21"/>
      <c r="J29" s="21"/>
      <c r="K29" s="13"/>
      <c r="L29" s="13"/>
      <c r="M29" s="10"/>
      <c r="N29" s="10"/>
    </row>
    <row r="30" spans="1:14" ht="25.05" customHeight="1" x14ac:dyDescent="0.3">
      <c r="A30" s="22">
        <v>26</v>
      </c>
      <c r="B30" s="22"/>
      <c r="C30" s="22"/>
      <c r="D30" s="6"/>
      <c r="E30" s="6"/>
      <c r="F30" s="22"/>
      <c r="G30" s="22"/>
      <c r="H30" s="23"/>
      <c r="I30" s="23"/>
      <c r="J30" s="23"/>
      <c r="K30" s="22"/>
      <c r="L30" s="22"/>
      <c r="M30" s="6"/>
      <c r="N30" s="6"/>
    </row>
    <row r="31" spans="1:14" ht="25.05" customHeight="1" x14ac:dyDescent="0.3">
      <c r="A31" s="13">
        <v>27</v>
      </c>
      <c r="B31" s="13"/>
      <c r="C31" s="13"/>
      <c r="D31" s="10"/>
      <c r="E31" s="10"/>
      <c r="F31" s="13"/>
      <c r="G31" s="13"/>
      <c r="H31" s="21"/>
      <c r="I31" s="21"/>
      <c r="J31" s="21"/>
      <c r="K31" s="13"/>
      <c r="L31" s="13"/>
      <c r="M31" s="10"/>
      <c r="N31" s="10"/>
    </row>
    <row r="32" spans="1:14" ht="25.05" customHeight="1" x14ac:dyDescent="0.3">
      <c r="A32" s="22">
        <v>28</v>
      </c>
      <c r="B32" s="22"/>
      <c r="C32" s="22"/>
      <c r="D32" s="6"/>
      <c r="E32" s="6"/>
      <c r="F32" s="22"/>
      <c r="G32" s="22"/>
      <c r="H32" s="23"/>
      <c r="I32" s="23"/>
      <c r="J32" s="23"/>
      <c r="K32" s="22"/>
      <c r="L32" s="22"/>
      <c r="M32" s="6"/>
      <c r="N32" s="6"/>
    </row>
    <row r="33" spans="1:14" ht="25.05" customHeight="1" x14ac:dyDescent="0.3">
      <c r="A33" s="13">
        <v>29</v>
      </c>
      <c r="B33" s="13"/>
      <c r="C33" s="13"/>
      <c r="D33" s="10"/>
      <c r="E33" s="10"/>
      <c r="F33" s="13"/>
      <c r="G33" s="13"/>
      <c r="H33" s="21"/>
      <c r="I33" s="21"/>
      <c r="J33" s="21"/>
      <c r="K33" s="13"/>
      <c r="L33" s="13"/>
      <c r="M33" s="10"/>
      <c r="N33" s="10"/>
    </row>
    <row r="34" spans="1:14" ht="25.05" customHeight="1" x14ac:dyDescent="0.3">
      <c r="A34" s="22">
        <v>30</v>
      </c>
      <c r="B34" s="22"/>
      <c r="C34" s="22"/>
      <c r="D34" s="6"/>
      <c r="E34" s="6"/>
      <c r="F34" s="22"/>
      <c r="G34" s="22"/>
      <c r="H34" s="23"/>
      <c r="I34" s="23"/>
      <c r="J34" s="23"/>
      <c r="K34" s="22"/>
      <c r="L34" s="22"/>
      <c r="M34" s="6"/>
      <c r="N34" s="6"/>
    </row>
    <row r="35" spans="1:14" ht="25.05" customHeight="1" x14ac:dyDescent="0.3">
      <c r="A35" s="13">
        <v>31</v>
      </c>
      <c r="B35" s="13"/>
      <c r="C35" s="13"/>
      <c r="D35" s="10"/>
      <c r="E35" s="10"/>
      <c r="F35" s="13"/>
      <c r="G35" s="13"/>
      <c r="H35" s="21"/>
      <c r="I35" s="21"/>
      <c r="J35" s="21"/>
      <c r="K35" s="13"/>
      <c r="L35" s="13"/>
      <c r="M35" s="10"/>
      <c r="N35" s="10"/>
    </row>
    <row r="36" spans="1:14" ht="25.05" customHeight="1" x14ac:dyDescent="0.3">
      <c r="A36" s="22">
        <v>32</v>
      </c>
      <c r="B36" s="22"/>
      <c r="C36" s="22"/>
      <c r="D36" s="6"/>
      <c r="E36" s="6"/>
      <c r="F36" s="22"/>
      <c r="G36" s="22"/>
      <c r="H36" s="23"/>
      <c r="I36" s="23"/>
      <c r="J36" s="23"/>
      <c r="K36" s="22"/>
      <c r="L36" s="22"/>
      <c r="M36" s="6"/>
      <c r="N36" s="6"/>
    </row>
    <row r="37" spans="1:14" ht="25.05" customHeight="1" x14ac:dyDescent="0.3">
      <c r="A37" s="13">
        <v>33</v>
      </c>
      <c r="B37" s="13"/>
      <c r="C37" s="13"/>
      <c r="D37" s="10"/>
      <c r="E37" s="10"/>
      <c r="F37" s="13"/>
      <c r="G37" s="13"/>
      <c r="H37" s="21"/>
      <c r="I37" s="21"/>
      <c r="J37" s="21"/>
      <c r="K37" s="13"/>
      <c r="L37" s="13"/>
      <c r="M37" s="10"/>
      <c r="N37" s="10"/>
    </row>
    <row r="38" spans="1:14" ht="25.05" customHeight="1" x14ac:dyDescent="0.3">
      <c r="A38" s="22">
        <v>34</v>
      </c>
      <c r="B38" s="22"/>
      <c r="C38" s="22"/>
      <c r="D38" s="6"/>
      <c r="E38" s="6"/>
      <c r="F38" s="22"/>
      <c r="G38" s="22"/>
      <c r="H38" s="23"/>
      <c r="I38" s="23"/>
      <c r="J38" s="23"/>
      <c r="K38" s="22"/>
      <c r="L38" s="22"/>
      <c r="M38" s="6"/>
      <c r="N38" s="6"/>
    </row>
    <row r="39" spans="1:14" ht="25.05" customHeight="1" x14ac:dyDescent="0.3">
      <c r="A39" s="13">
        <v>35</v>
      </c>
      <c r="B39" s="13"/>
      <c r="C39" s="13"/>
      <c r="D39" s="10"/>
      <c r="E39" s="10"/>
      <c r="F39" s="13"/>
      <c r="G39" s="13"/>
      <c r="H39" s="21"/>
      <c r="I39" s="21"/>
      <c r="J39" s="21"/>
      <c r="K39" s="13"/>
      <c r="L39" s="13"/>
      <c r="M39" s="10"/>
      <c r="N39" s="10"/>
    </row>
    <row r="40" spans="1:14" ht="25.05" customHeight="1" x14ac:dyDescent="0.3">
      <c r="A40" s="22">
        <v>36</v>
      </c>
      <c r="B40" s="22"/>
      <c r="C40" s="22"/>
      <c r="D40" s="6"/>
      <c r="E40" s="6"/>
      <c r="F40" s="22"/>
      <c r="G40" s="22"/>
      <c r="H40" s="23"/>
      <c r="I40" s="23"/>
      <c r="J40" s="23"/>
      <c r="K40" s="22"/>
      <c r="L40" s="22"/>
      <c r="M40" s="6"/>
      <c r="N40" s="6"/>
    </row>
    <row r="41" spans="1:14" ht="25.05" customHeight="1" x14ac:dyDescent="0.3">
      <c r="A41" s="13">
        <v>37</v>
      </c>
      <c r="B41" s="13"/>
      <c r="C41" s="13"/>
      <c r="D41" s="10"/>
      <c r="E41" s="10"/>
      <c r="F41" s="13"/>
      <c r="G41" s="13"/>
      <c r="H41" s="21"/>
      <c r="I41" s="21"/>
      <c r="J41" s="21"/>
      <c r="K41" s="13"/>
      <c r="L41" s="13"/>
      <c r="M41" s="10"/>
      <c r="N41" s="10"/>
    </row>
    <row r="42" spans="1:14" ht="25.05" customHeight="1" x14ac:dyDescent="0.3">
      <c r="A42" s="22">
        <v>38</v>
      </c>
      <c r="B42" s="22"/>
      <c r="C42" s="22"/>
      <c r="D42" s="6"/>
      <c r="E42" s="6"/>
      <c r="F42" s="22"/>
      <c r="G42" s="22"/>
      <c r="H42" s="23"/>
      <c r="I42" s="23"/>
      <c r="J42" s="23"/>
      <c r="K42" s="22"/>
      <c r="L42" s="22"/>
      <c r="M42" s="6"/>
      <c r="N42" s="6"/>
    </row>
    <row r="43" spans="1:14" ht="25.05" customHeight="1" x14ac:dyDescent="0.3">
      <c r="A43" s="13">
        <v>39</v>
      </c>
      <c r="B43" s="13"/>
      <c r="C43" s="13"/>
      <c r="D43" s="10"/>
      <c r="E43" s="10"/>
      <c r="F43" s="13"/>
      <c r="G43" s="13"/>
      <c r="H43" s="21"/>
      <c r="I43" s="21"/>
      <c r="J43" s="21"/>
      <c r="K43" s="13"/>
      <c r="L43" s="13"/>
      <c r="M43" s="10"/>
      <c r="N43" s="10"/>
    </row>
    <row r="44" spans="1:14" ht="25.05" customHeight="1" x14ac:dyDescent="0.3">
      <c r="A44" s="22">
        <v>40</v>
      </c>
      <c r="B44" s="22"/>
      <c r="C44" s="22"/>
      <c r="D44" s="6"/>
      <c r="E44" s="6"/>
      <c r="F44" s="22"/>
      <c r="G44" s="22"/>
      <c r="H44" s="23"/>
      <c r="I44" s="23"/>
      <c r="J44" s="23"/>
      <c r="K44" s="22"/>
      <c r="L44" s="22"/>
      <c r="M44" s="6"/>
      <c r="N44" s="6"/>
    </row>
    <row r="45" spans="1:14" ht="25.05" customHeight="1" x14ac:dyDescent="0.3">
      <c r="A45" s="13">
        <v>41</v>
      </c>
      <c r="B45" s="13"/>
      <c r="C45" s="13"/>
      <c r="D45" s="10"/>
      <c r="E45" s="10"/>
      <c r="F45" s="13"/>
      <c r="G45" s="13"/>
      <c r="H45" s="21"/>
      <c r="I45" s="21"/>
      <c r="J45" s="21"/>
      <c r="K45" s="13"/>
      <c r="L45" s="13"/>
      <c r="M45" s="10"/>
      <c r="N45" s="10"/>
    </row>
    <row r="46" spans="1:14" ht="25.05" customHeight="1" x14ac:dyDescent="0.3">
      <c r="A46" s="22">
        <v>42</v>
      </c>
      <c r="B46" s="22"/>
      <c r="C46" s="22"/>
      <c r="D46" s="6"/>
      <c r="E46" s="6"/>
      <c r="F46" s="22"/>
      <c r="G46" s="22"/>
      <c r="H46" s="23"/>
      <c r="I46" s="23"/>
      <c r="J46" s="23"/>
      <c r="K46" s="22"/>
      <c r="L46" s="22"/>
      <c r="M46" s="6"/>
      <c r="N46" s="6"/>
    </row>
    <row r="47" spans="1:14" ht="25.05" customHeight="1" x14ac:dyDescent="0.3">
      <c r="A47" s="13">
        <v>43</v>
      </c>
      <c r="B47" s="13"/>
      <c r="C47" s="13"/>
      <c r="D47" s="10"/>
      <c r="E47" s="10"/>
      <c r="F47" s="13"/>
      <c r="G47" s="13"/>
      <c r="H47" s="21"/>
      <c r="I47" s="21"/>
      <c r="J47" s="21"/>
      <c r="K47" s="13"/>
      <c r="L47" s="13"/>
      <c r="M47" s="10"/>
      <c r="N47" s="10"/>
    </row>
    <row r="48" spans="1:14" ht="25.05" customHeight="1" x14ac:dyDescent="0.3">
      <c r="A48" s="22">
        <v>44</v>
      </c>
      <c r="B48" s="22"/>
      <c r="C48" s="22"/>
      <c r="D48" s="6"/>
      <c r="E48" s="6"/>
      <c r="F48" s="22"/>
      <c r="G48" s="22"/>
      <c r="H48" s="23"/>
      <c r="I48" s="23"/>
      <c r="J48" s="23"/>
      <c r="K48" s="22"/>
      <c r="L48" s="22"/>
      <c r="M48" s="6"/>
      <c r="N48" s="6"/>
    </row>
    <row r="49" spans="1:14" ht="25.05" customHeight="1" x14ac:dyDescent="0.3">
      <c r="A49" s="13">
        <v>45</v>
      </c>
      <c r="B49" s="13"/>
      <c r="C49" s="13"/>
      <c r="D49" s="10"/>
      <c r="E49" s="10"/>
      <c r="F49" s="13"/>
      <c r="G49" s="13"/>
      <c r="H49" s="21"/>
      <c r="I49" s="21"/>
      <c r="J49" s="21"/>
      <c r="K49" s="13"/>
      <c r="L49" s="13"/>
      <c r="M49" s="10"/>
      <c r="N49" s="10"/>
    </row>
    <row r="50" spans="1:14" ht="25.05" customHeight="1" x14ac:dyDescent="0.3">
      <c r="A50" s="22">
        <v>46</v>
      </c>
      <c r="B50" s="22"/>
      <c r="C50" s="22"/>
      <c r="D50" s="6"/>
      <c r="E50" s="6"/>
      <c r="F50" s="22"/>
      <c r="G50" s="22"/>
      <c r="H50" s="23"/>
      <c r="I50" s="23"/>
      <c r="J50" s="23"/>
      <c r="K50" s="22"/>
      <c r="L50" s="22"/>
      <c r="M50" s="6"/>
      <c r="N50" s="6"/>
    </row>
    <row r="51" spans="1:14" ht="25.05" customHeight="1" x14ac:dyDescent="0.3">
      <c r="A51" s="13">
        <v>47</v>
      </c>
      <c r="B51" s="13"/>
      <c r="C51" s="13"/>
      <c r="D51" s="10"/>
      <c r="E51" s="10"/>
      <c r="F51" s="13"/>
      <c r="G51" s="13"/>
      <c r="H51" s="21"/>
      <c r="I51" s="21"/>
      <c r="J51" s="21"/>
      <c r="K51" s="13"/>
      <c r="L51" s="13"/>
      <c r="M51" s="10"/>
      <c r="N51" s="10"/>
    </row>
    <row r="52" spans="1:14" ht="25.05" customHeight="1" x14ac:dyDescent="0.3">
      <c r="A52" s="22">
        <v>48</v>
      </c>
      <c r="B52" s="22"/>
      <c r="C52" s="22"/>
      <c r="D52" s="6"/>
      <c r="E52" s="6"/>
      <c r="F52" s="22"/>
      <c r="G52" s="22"/>
      <c r="H52" s="23"/>
      <c r="I52" s="23"/>
      <c r="J52" s="23"/>
      <c r="K52" s="22"/>
      <c r="L52" s="22"/>
      <c r="M52" s="6"/>
      <c r="N52" s="6"/>
    </row>
    <row r="53" spans="1:14" ht="25.05" customHeight="1" x14ac:dyDescent="0.3">
      <c r="A53" s="13">
        <v>49</v>
      </c>
      <c r="B53" s="13"/>
      <c r="C53" s="13"/>
      <c r="D53" s="10"/>
      <c r="E53" s="10"/>
      <c r="F53" s="13"/>
      <c r="G53" s="13"/>
      <c r="H53" s="21"/>
      <c r="I53" s="21"/>
      <c r="J53" s="21"/>
      <c r="K53" s="13"/>
      <c r="L53" s="13"/>
      <c r="M53" s="10"/>
      <c r="N53" s="10"/>
    </row>
    <row r="54" spans="1:14" ht="25.05" customHeight="1" x14ac:dyDescent="0.3">
      <c r="A54" s="22">
        <v>50</v>
      </c>
      <c r="B54" s="22"/>
      <c r="C54" s="22"/>
      <c r="D54" s="6"/>
      <c r="E54" s="6"/>
      <c r="F54" s="22"/>
      <c r="G54" s="22"/>
      <c r="H54" s="23"/>
      <c r="I54" s="23"/>
      <c r="J54" s="23"/>
      <c r="K54" s="22"/>
      <c r="L54" s="22"/>
      <c r="M54" s="6"/>
      <c r="N54" s="6"/>
    </row>
    <row r="55" spans="1:14" ht="25.05" customHeight="1" x14ac:dyDescent="0.3">
      <c r="A55" s="13">
        <v>51</v>
      </c>
      <c r="B55" s="13"/>
      <c r="C55" s="13"/>
      <c r="D55" s="10"/>
      <c r="E55" s="10"/>
      <c r="F55" s="13"/>
      <c r="G55" s="13"/>
      <c r="H55" s="21"/>
      <c r="I55" s="21"/>
      <c r="J55" s="21"/>
      <c r="K55" s="13"/>
      <c r="L55" s="13"/>
      <c r="M55" s="10"/>
      <c r="N55" s="10"/>
    </row>
    <row r="56" spans="1:14" ht="25.05" customHeight="1" x14ac:dyDescent="0.3">
      <c r="A56" s="22">
        <v>52</v>
      </c>
      <c r="B56" s="22"/>
      <c r="C56" s="22"/>
      <c r="D56" s="6"/>
      <c r="E56" s="6"/>
      <c r="F56" s="22"/>
      <c r="G56" s="22"/>
      <c r="H56" s="23"/>
      <c r="I56" s="23"/>
      <c r="J56" s="23"/>
      <c r="K56" s="22"/>
      <c r="L56" s="22"/>
      <c r="M56" s="6"/>
      <c r="N56" s="6"/>
    </row>
    <row r="57" spans="1:14" ht="25.05" customHeight="1" x14ac:dyDescent="0.3">
      <c r="A57" s="13">
        <v>53</v>
      </c>
      <c r="B57" s="13"/>
      <c r="C57" s="13"/>
      <c r="D57" s="10"/>
      <c r="E57" s="10"/>
      <c r="F57" s="13"/>
      <c r="G57" s="13"/>
      <c r="H57" s="21"/>
      <c r="I57" s="21"/>
      <c r="J57" s="21"/>
      <c r="K57" s="13"/>
      <c r="L57" s="13"/>
      <c r="M57" s="10"/>
      <c r="N57" s="10"/>
    </row>
    <row r="58" spans="1:14" ht="25.05" customHeight="1" x14ac:dyDescent="0.3">
      <c r="A58" s="22">
        <v>54</v>
      </c>
      <c r="B58" s="22"/>
      <c r="C58" s="22"/>
      <c r="D58" s="6"/>
      <c r="E58" s="6"/>
      <c r="F58" s="22"/>
      <c r="G58" s="22"/>
      <c r="H58" s="23"/>
      <c r="I58" s="23"/>
      <c r="J58" s="23"/>
      <c r="K58" s="22"/>
      <c r="L58" s="22"/>
      <c r="M58" s="6"/>
      <c r="N58" s="6"/>
    </row>
    <row r="59" spans="1:14" ht="25.05" customHeight="1" x14ac:dyDescent="0.3">
      <c r="A59" s="13">
        <v>55</v>
      </c>
      <c r="B59" s="13"/>
      <c r="C59" s="13"/>
      <c r="D59" s="10"/>
      <c r="E59" s="10"/>
      <c r="F59" s="13"/>
      <c r="G59" s="13"/>
      <c r="H59" s="21"/>
      <c r="I59" s="21"/>
      <c r="J59" s="21"/>
      <c r="K59" s="13"/>
      <c r="L59" s="13"/>
      <c r="M59" s="10"/>
      <c r="N59" s="10"/>
    </row>
    <row r="60" spans="1:14" ht="25.05" customHeight="1" x14ac:dyDescent="0.3">
      <c r="A60" s="22">
        <v>56</v>
      </c>
      <c r="B60" s="22"/>
      <c r="C60" s="22"/>
      <c r="D60" s="6"/>
      <c r="E60" s="6"/>
      <c r="F60" s="22"/>
      <c r="G60" s="22"/>
      <c r="H60" s="23"/>
      <c r="I60" s="23"/>
      <c r="J60" s="23"/>
      <c r="K60" s="22"/>
      <c r="L60" s="22"/>
      <c r="M60" s="6"/>
      <c r="N60" s="6"/>
    </row>
    <row r="61" spans="1:14" ht="25.05" customHeight="1" x14ac:dyDescent="0.3">
      <c r="A61" s="13">
        <v>57</v>
      </c>
      <c r="B61" s="13"/>
      <c r="C61" s="13"/>
      <c r="D61" s="10"/>
      <c r="E61" s="10"/>
      <c r="F61" s="13"/>
      <c r="G61" s="13"/>
      <c r="H61" s="21"/>
      <c r="I61" s="21"/>
      <c r="J61" s="21"/>
      <c r="K61" s="13"/>
      <c r="L61" s="13"/>
      <c r="M61" s="10"/>
      <c r="N61" s="10"/>
    </row>
    <row r="62" spans="1:14" ht="25.05" customHeight="1" x14ac:dyDescent="0.3">
      <c r="A62" s="22">
        <v>58</v>
      </c>
      <c r="B62" s="22"/>
      <c r="C62" s="22"/>
      <c r="D62" s="6"/>
      <c r="E62" s="6"/>
      <c r="F62" s="22"/>
      <c r="G62" s="22"/>
      <c r="H62" s="23"/>
      <c r="I62" s="23"/>
      <c r="J62" s="23"/>
      <c r="K62" s="22"/>
      <c r="L62" s="22"/>
      <c r="M62" s="6"/>
      <c r="N62" s="6"/>
    </row>
    <row r="63" spans="1:14" ht="25.05" customHeight="1" x14ac:dyDescent="0.3">
      <c r="A63" s="13">
        <v>59</v>
      </c>
      <c r="B63" s="13"/>
      <c r="C63" s="13"/>
      <c r="D63" s="10"/>
      <c r="E63" s="10"/>
      <c r="F63" s="13"/>
      <c r="G63" s="13"/>
      <c r="H63" s="21"/>
      <c r="I63" s="21"/>
      <c r="J63" s="21"/>
      <c r="K63" s="13"/>
      <c r="L63" s="13"/>
      <c r="M63" s="10"/>
      <c r="N63" s="10"/>
    </row>
    <row r="64" spans="1:14" ht="25.05" customHeight="1" x14ac:dyDescent="0.3">
      <c r="A64" s="22">
        <v>60</v>
      </c>
      <c r="B64" s="22"/>
      <c r="C64" s="22"/>
      <c r="D64" s="6"/>
      <c r="E64" s="6"/>
      <c r="F64" s="22"/>
      <c r="G64" s="22"/>
      <c r="H64" s="23"/>
      <c r="I64" s="23"/>
      <c r="J64" s="23"/>
      <c r="K64" s="22"/>
      <c r="L64" s="22"/>
      <c r="M64" s="6"/>
      <c r="N64" s="6"/>
    </row>
    <row r="67" spans="1:6" ht="30" customHeight="1" x14ac:dyDescent="0.3">
      <c r="A67" s="49" t="s">
        <v>431</v>
      </c>
      <c r="B67" s="49"/>
      <c r="C67" s="49"/>
      <c r="D67" s="49"/>
      <c r="E67" s="49"/>
      <c r="F67" s="49"/>
    </row>
    <row r="68" spans="1:6" ht="28.05" customHeight="1" x14ac:dyDescent="0.3">
      <c r="A68" s="50" t="s">
        <v>432</v>
      </c>
      <c r="B68" s="50"/>
      <c r="C68" s="50"/>
      <c r="D68" s="51">
        <f>COUNTIF(K5:K64,"Pendiente")</f>
        <v>0</v>
      </c>
      <c r="E68" s="51"/>
      <c r="F68" s="51"/>
    </row>
    <row r="69" spans="1:6" ht="28.05" customHeight="1" x14ac:dyDescent="0.3">
      <c r="A69" s="52" t="s">
        <v>433</v>
      </c>
      <c r="B69" s="52"/>
      <c r="C69" s="52"/>
      <c r="D69" s="53">
        <f>COUNTIF(K5:K64,"En Gestión")</f>
        <v>0</v>
      </c>
      <c r="E69" s="53"/>
      <c r="F69" s="53"/>
    </row>
    <row r="70" spans="1:6" ht="28.05" customHeight="1" x14ac:dyDescent="0.3">
      <c r="A70" s="41" t="s">
        <v>434</v>
      </c>
      <c r="B70" s="41"/>
      <c r="C70" s="41"/>
      <c r="D70" s="54">
        <f>COUNTIF(K5:K64,"Levantada")</f>
        <v>0</v>
      </c>
      <c r="E70" s="54"/>
      <c r="F70" s="54"/>
    </row>
    <row r="71" spans="1:6" ht="28.05" customHeight="1" x14ac:dyDescent="0.3">
      <c r="A71" s="55" t="s">
        <v>435</v>
      </c>
      <c r="B71" s="55"/>
      <c r="C71" s="55"/>
      <c r="D71" s="56">
        <f>COUNTIF(K5:K64,"Vencida")</f>
        <v>0</v>
      </c>
      <c r="E71" s="56"/>
      <c r="F71" s="56"/>
    </row>
    <row r="72" spans="1:6" ht="28.05" customHeight="1" x14ac:dyDescent="0.3">
      <c r="A72" s="57" t="s">
        <v>436</v>
      </c>
      <c r="B72" s="57"/>
      <c r="C72" s="57"/>
      <c r="D72" s="58">
        <f>COUNTA(K5:K64)-COUNTBLANK(K5:K64)</f>
        <v>-60</v>
      </c>
      <c r="E72" s="58"/>
      <c r="F72" s="58"/>
    </row>
    <row r="74" spans="1:6" ht="15.6" x14ac:dyDescent="0.3">
      <c r="A74" s="47" t="s">
        <v>437</v>
      </c>
      <c r="B74" s="47"/>
      <c r="C74" s="47"/>
      <c r="D74" s="47"/>
      <c r="E74" s="47"/>
      <c r="F74" s="47"/>
    </row>
    <row r="75" spans="1:6" ht="18" x14ac:dyDescent="0.3">
      <c r="A75" s="59" t="s">
        <v>438</v>
      </c>
      <c r="B75" s="59"/>
      <c r="C75" s="59"/>
      <c r="D75" s="60">
        <f>COUNTIF(L5:L64,"Bajo")</f>
        <v>0</v>
      </c>
      <c r="E75" s="60"/>
      <c r="F75" s="60"/>
    </row>
    <row r="76" spans="1:6" ht="18" x14ac:dyDescent="0.3">
      <c r="A76" s="61" t="s">
        <v>439</v>
      </c>
      <c r="B76" s="61"/>
      <c r="C76" s="61"/>
      <c r="D76" s="62">
        <f>COUNTIF(L5:L64,"Medio")</f>
        <v>0</v>
      </c>
      <c r="E76" s="62"/>
      <c r="F76" s="62"/>
    </row>
    <row r="77" spans="1:6" ht="18" x14ac:dyDescent="0.3">
      <c r="A77" s="63" t="s">
        <v>440</v>
      </c>
      <c r="B77" s="63"/>
      <c r="C77" s="63"/>
      <c r="D77" s="64">
        <f>COUNTIF(L5:L64,"Alto")</f>
        <v>0</v>
      </c>
      <c r="E77" s="64"/>
      <c r="F77" s="64"/>
    </row>
    <row r="78" spans="1:6" ht="18" x14ac:dyDescent="0.3">
      <c r="A78" s="55" t="s">
        <v>441</v>
      </c>
      <c r="B78" s="55"/>
      <c r="C78" s="55"/>
      <c r="D78" s="56">
        <f>COUNTIF(L5:L64,"Crítico")</f>
        <v>0</v>
      </c>
      <c r="E78" s="56"/>
      <c r="F78" s="56"/>
    </row>
  </sheetData>
  <mergeCells count="23">
    <mergeCell ref="A76:C76"/>
    <mergeCell ref="D76:F76"/>
    <mergeCell ref="A77:C77"/>
    <mergeCell ref="D77:F77"/>
    <mergeCell ref="A78:C78"/>
    <mergeCell ref="D78:F78"/>
    <mergeCell ref="A72:C72"/>
    <mergeCell ref="D72:F72"/>
    <mergeCell ref="A74:F74"/>
    <mergeCell ref="A75:C75"/>
    <mergeCell ref="D75:F75"/>
    <mergeCell ref="A69:C69"/>
    <mergeCell ref="D69:F69"/>
    <mergeCell ref="A70:C70"/>
    <mergeCell ref="D70:F70"/>
    <mergeCell ref="A71:C71"/>
    <mergeCell ref="D71:F71"/>
    <mergeCell ref="A1:N1"/>
    <mergeCell ref="A2:N2"/>
    <mergeCell ref="A3:N3"/>
    <mergeCell ref="A67:F67"/>
    <mergeCell ref="A68:C68"/>
    <mergeCell ref="D68:F68"/>
  </mergeCells>
  <conditionalFormatting sqref="K5:K64">
    <cfRule type="containsText" dxfId="7" priority="1" operator="containsText" text="Levantada">
      <formula>NOT(ISERROR(SEARCH("Levantada",K5)))</formula>
    </cfRule>
    <cfRule type="containsText" dxfId="6" priority="2" operator="containsText" text="Pendiente">
      <formula>NOT(ISERROR(SEARCH("Pendiente",K5)))</formula>
    </cfRule>
    <cfRule type="containsText" dxfId="5" priority="3" operator="containsText" text="Vencida">
      <formula>NOT(ISERROR(SEARCH("Vencida",K5)))</formula>
    </cfRule>
    <cfRule type="containsText" dxfId="4" priority="4" operator="containsText" text="En Gestión">
      <formula>NOT(ISERROR(SEARCH("En Gestión",K5)))</formula>
    </cfRule>
  </conditionalFormatting>
  <conditionalFormatting sqref="L5:L64">
    <cfRule type="containsText" dxfId="3" priority="5" operator="containsText" text="Crítico">
      <formula>NOT(ISERROR(SEARCH("Crítico",L5)))</formula>
    </cfRule>
    <cfRule type="containsText" dxfId="2" priority="6" operator="containsText" text="Alto">
      <formula>NOT(ISERROR(SEARCH("Alto",L5)))</formula>
    </cfRule>
    <cfRule type="containsText" dxfId="1" priority="7" operator="containsText" text="Medio">
      <formula>NOT(ISERROR(SEARCH("Medio",L5)))</formula>
    </cfRule>
    <cfRule type="containsText" dxfId="0" priority="8" operator="containsText" text="Bajo">
      <formula>NOT(ISERROR(SEARCH("Bajo",L5)))</formula>
    </cfRule>
  </conditionalFormatting>
  <dataValidations count="4">
    <dataValidation type="list" allowBlank="1" showInputMessage="1" showErrorMessage="1" sqref="B5:B64" xr:uid="{00000000-0002-0000-0800-000000000000}">
      <formula1>"OE-01.1,OE-01.2,OE-01.3,OE-02.1,OE-02.2,OE-02.3,OE-02.4,OE-02.5,OE-03.1,OE-03.2,OE-03.3,OE-04.1,OE-04.2"</formula1>
    </dataValidation>
    <dataValidation type="list" allowBlank="1" showInputMessage="1" showErrorMessage="1" sqref="F5:F64" xr:uid="{00000000-0002-0000-0800-000001000000}">
      <formula1>"Información,Recurso,Equipos,Diseño,Materiales,Aprobación,Legal,Financiero,Otro"</formula1>
    </dataValidation>
    <dataValidation type="list" allowBlank="1" showInputMessage="1" showErrorMessage="1" sqref="K5:K64" xr:uid="{00000000-0002-0000-0800-000002000000}">
      <formula1>"Pendiente,En Gestión,Levantada,Vencida"</formula1>
    </dataValidation>
    <dataValidation type="list" allowBlank="1" showInputMessage="1" showErrorMessage="1" sqref="L5:L64" xr:uid="{00000000-0002-0000-0800-000003000000}">
      <formula1>"Bajo,Medio,Alto,Crítico"</formula1>
    </dataValidation>
  </dataValidation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</vt:lpstr>
      <vt:lpstr>LA - GIS</vt:lpstr>
      <vt:lpstr>PM - GIS</vt:lpstr>
      <vt:lpstr>PPC - GIS</vt:lpstr>
      <vt:lpstr>AR - GIS</vt:lpstr>
      <vt:lpstr>LA - METRO</vt:lpstr>
      <vt:lpstr>PM - METRO</vt:lpstr>
      <vt:lpstr>PPC - METRO</vt:lpstr>
      <vt:lpstr>AR - 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yrving León Chappe</cp:lastModifiedBy>
  <dcterms:created xsi:type="dcterms:W3CDTF">2026-03-03T20:46:36Z</dcterms:created>
  <dcterms:modified xsi:type="dcterms:W3CDTF">2026-03-03T21:08:54Z</dcterms:modified>
</cp:coreProperties>
</file>